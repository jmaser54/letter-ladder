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maser/Desktop/Coding Stuff/unnamed word game/"/>
    </mc:Choice>
  </mc:AlternateContent>
  <xr:revisionPtr revIDLastSave="0" documentId="13_ncr:1_{D0C5E2A7-45F0-B047-B95B-A353CD544182}" xr6:coauthVersionLast="47" xr6:coauthVersionMax="47" xr10:uidLastSave="{00000000-0000-0000-0000-000000000000}"/>
  <bookViews>
    <workbookView xWindow="0" yWindow="500" windowWidth="28800" windowHeight="16100" xr2:uid="{442FE6D4-3564-4D47-8149-C5DD3F3556F4}"/>
  </bookViews>
  <sheets>
    <sheet name="Puzzle Bank" sheetId="1" r:id="rId1"/>
    <sheet name="Level Key" sheetId="2" r:id="rId2"/>
  </sheets>
  <definedNames>
    <definedName name="_xlnm._FilterDatabase" localSheetId="0" hidden="1">'Puzzle Bank'!$A$1:$E$43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9" i="1" l="1"/>
  <c r="E269" i="1" s="1"/>
  <c r="I269" i="1"/>
  <c r="J269" i="1"/>
  <c r="I268" i="1"/>
  <c r="J268" i="1"/>
  <c r="I267" i="1"/>
  <c r="J267" i="1"/>
  <c r="I266" i="1"/>
  <c r="J266" i="1"/>
  <c r="I265" i="1"/>
  <c r="J265" i="1"/>
  <c r="I264" i="1"/>
  <c r="J264" i="1"/>
  <c r="I263" i="1"/>
  <c r="J263" i="1"/>
  <c r="I262" i="1"/>
  <c r="J262" i="1"/>
  <c r="I261" i="1"/>
  <c r="J261" i="1"/>
  <c r="I260" i="1"/>
  <c r="J260" i="1"/>
  <c r="I259" i="1"/>
  <c r="J259" i="1"/>
  <c r="I258" i="1"/>
  <c r="J258" i="1"/>
  <c r="I257" i="1"/>
  <c r="J257" i="1"/>
  <c r="I256" i="1"/>
  <c r="J256" i="1"/>
  <c r="I255" i="1"/>
  <c r="J255" i="1"/>
  <c r="I254" i="1"/>
  <c r="J254" i="1"/>
  <c r="I253" i="1"/>
  <c r="J253" i="1"/>
  <c r="I252" i="1"/>
  <c r="J252" i="1"/>
  <c r="I251" i="1"/>
  <c r="J251" i="1"/>
  <c r="I250" i="1"/>
  <c r="J250" i="1"/>
  <c r="I249" i="1"/>
  <c r="J249" i="1"/>
  <c r="I248" i="1"/>
  <c r="J248" i="1"/>
  <c r="I247" i="1"/>
  <c r="J247" i="1"/>
  <c r="I246" i="1"/>
  <c r="J246" i="1"/>
  <c r="I245" i="1"/>
  <c r="J245" i="1"/>
  <c r="I244" i="1"/>
  <c r="J244" i="1"/>
  <c r="I243" i="1"/>
  <c r="J243" i="1"/>
  <c r="I242" i="1"/>
  <c r="J242" i="1"/>
  <c r="I241" i="1"/>
  <c r="J241" i="1"/>
  <c r="I240" i="1"/>
  <c r="J240" i="1"/>
  <c r="I239" i="1"/>
  <c r="J239" i="1"/>
  <c r="I238" i="1"/>
  <c r="J238" i="1"/>
  <c r="I237" i="1"/>
  <c r="J237" i="1"/>
  <c r="I236" i="1"/>
  <c r="J236" i="1"/>
  <c r="I235" i="1"/>
  <c r="J235" i="1"/>
  <c r="I234" i="1"/>
  <c r="J234" i="1"/>
  <c r="I233" i="1"/>
  <c r="J233" i="1"/>
  <c r="I232" i="1"/>
  <c r="J232" i="1"/>
  <c r="I231" i="1"/>
  <c r="J231" i="1"/>
  <c r="I230" i="1"/>
  <c r="J230" i="1"/>
  <c r="I229" i="1"/>
  <c r="J229" i="1"/>
  <c r="I228" i="1"/>
  <c r="J228" i="1"/>
  <c r="I227" i="1"/>
  <c r="J227" i="1"/>
  <c r="I226" i="1"/>
  <c r="J226" i="1"/>
  <c r="I225" i="1"/>
  <c r="J225" i="1"/>
  <c r="I224" i="1"/>
  <c r="J224" i="1"/>
  <c r="I223" i="1"/>
  <c r="J223" i="1"/>
  <c r="I222" i="1"/>
  <c r="J222" i="1"/>
  <c r="I221" i="1"/>
  <c r="J221" i="1"/>
  <c r="I220" i="1"/>
  <c r="J220" i="1"/>
  <c r="I219" i="1"/>
  <c r="J219" i="1"/>
  <c r="I218" i="1"/>
  <c r="J218" i="1"/>
  <c r="I217" i="1"/>
  <c r="J217" i="1"/>
  <c r="I216" i="1"/>
  <c r="J216" i="1"/>
  <c r="I215" i="1"/>
  <c r="J215" i="1"/>
  <c r="I214" i="1"/>
  <c r="J214" i="1"/>
  <c r="I213" i="1"/>
  <c r="J213" i="1"/>
  <c r="I212" i="1"/>
  <c r="J212" i="1"/>
  <c r="I211" i="1"/>
  <c r="J211" i="1"/>
  <c r="I210" i="1"/>
  <c r="J210" i="1"/>
  <c r="I209" i="1"/>
  <c r="J209" i="1"/>
  <c r="I208" i="1"/>
  <c r="J208" i="1"/>
  <c r="I207" i="1"/>
  <c r="J207" i="1"/>
  <c r="I206" i="1"/>
  <c r="J206" i="1"/>
  <c r="I205" i="1"/>
  <c r="J205" i="1"/>
  <c r="I204" i="1"/>
  <c r="J204" i="1"/>
  <c r="I203" i="1"/>
  <c r="J203" i="1"/>
  <c r="I202" i="1"/>
  <c r="J202" i="1"/>
  <c r="I201" i="1"/>
  <c r="J201" i="1"/>
  <c r="I200" i="1"/>
  <c r="J200" i="1"/>
  <c r="I199" i="1"/>
  <c r="J199" i="1"/>
  <c r="I198" i="1"/>
  <c r="J198" i="1"/>
  <c r="I197" i="1"/>
  <c r="J197" i="1"/>
  <c r="I196" i="1"/>
  <c r="J196" i="1"/>
  <c r="I195" i="1"/>
  <c r="J195" i="1"/>
  <c r="I194" i="1"/>
  <c r="J194" i="1"/>
  <c r="I193" i="1"/>
  <c r="J193" i="1"/>
  <c r="I192" i="1"/>
  <c r="J192" i="1"/>
  <c r="I191" i="1"/>
  <c r="J191" i="1"/>
  <c r="I190" i="1"/>
  <c r="J190" i="1"/>
  <c r="I189" i="1"/>
  <c r="J189" i="1"/>
  <c r="I188" i="1"/>
  <c r="J188" i="1"/>
  <c r="I187" i="1"/>
  <c r="J187" i="1"/>
  <c r="I186" i="1"/>
  <c r="J186" i="1"/>
  <c r="I185" i="1"/>
  <c r="J185" i="1"/>
  <c r="I184" i="1"/>
  <c r="J184" i="1"/>
  <c r="I183" i="1"/>
  <c r="J183" i="1"/>
  <c r="I182" i="1"/>
  <c r="J182" i="1"/>
  <c r="I181" i="1"/>
  <c r="J181" i="1"/>
  <c r="I180" i="1"/>
  <c r="J180" i="1"/>
  <c r="I179" i="1"/>
  <c r="J179" i="1"/>
  <c r="D177" i="1"/>
  <c r="E177" i="1" s="1"/>
  <c r="I177" i="1"/>
  <c r="J177" i="1"/>
  <c r="D174" i="1"/>
  <c r="E174" i="1" s="1"/>
  <c r="I174" i="1"/>
  <c r="J174" i="1"/>
  <c r="D176" i="1"/>
  <c r="E176" i="1" s="1"/>
  <c r="I176" i="1"/>
  <c r="J176" i="1"/>
  <c r="D175" i="1"/>
  <c r="E175" i="1" s="1"/>
  <c r="I175" i="1"/>
  <c r="J175" i="1"/>
  <c r="I178" i="1"/>
  <c r="J178" i="1"/>
  <c r="J270" i="1"/>
  <c r="J271" i="1"/>
  <c r="J272" i="1"/>
  <c r="J273" i="1"/>
  <c r="J274" i="1"/>
  <c r="J276" i="1"/>
  <c r="J277" i="1"/>
  <c r="J278" i="1"/>
  <c r="J279" i="1"/>
  <c r="J283" i="1"/>
  <c r="J284" i="1"/>
  <c r="J11" i="1"/>
  <c r="J3" i="1"/>
  <c r="J4" i="1"/>
  <c r="J5" i="1"/>
  <c r="J6" i="1"/>
  <c r="J7" i="1"/>
  <c r="J8" i="1"/>
  <c r="J10" i="1"/>
  <c r="J2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282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28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281" i="1"/>
  <c r="J109" i="1"/>
  <c r="J110" i="1"/>
  <c r="J111" i="1"/>
  <c r="J112" i="1"/>
  <c r="J113" i="1"/>
  <c r="J114" i="1"/>
  <c r="J115" i="1"/>
  <c r="J27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2" i="1"/>
  <c r="J173" i="1"/>
  <c r="J171" i="1"/>
  <c r="J71" i="1"/>
  <c r="J9" i="1"/>
  <c r="I270" i="1"/>
  <c r="I271" i="1"/>
  <c r="I272" i="1"/>
  <c r="I273" i="1"/>
  <c r="I274" i="1"/>
  <c r="I276" i="1"/>
  <c r="I277" i="1"/>
  <c r="I278" i="1"/>
  <c r="I279" i="1"/>
  <c r="I283" i="1"/>
  <c r="I284" i="1"/>
  <c r="I11" i="1"/>
  <c r="I3" i="1"/>
  <c r="I4" i="1"/>
  <c r="I5" i="1"/>
  <c r="I6" i="1"/>
  <c r="I7" i="1"/>
  <c r="I8" i="1"/>
  <c r="I10" i="1"/>
  <c r="I2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82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28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281" i="1"/>
  <c r="I109" i="1"/>
  <c r="I110" i="1"/>
  <c r="I111" i="1"/>
  <c r="I112" i="1"/>
  <c r="I113" i="1"/>
  <c r="I114" i="1"/>
  <c r="I115" i="1"/>
  <c r="I27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2" i="1"/>
  <c r="I173" i="1"/>
  <c r="I171" i="1"/>
  <c r="I71" i="1"/>
  <c r="I9" i="1"/>
  <c r="D9" i="1"/>
  <c r="E9" i="1" s="1"/>
  <c r="D71" i="1"/>
  <c r="E71" i="1" s="1"/>
  <c r="D171" i="1"/>
  <c r="E171" i="1" s="1"/>
  <c r="D173" i="1"/>
  <c r="E173" i="1" s="1"/>
  <c r="D172" i="1"/>
  <c r="E172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D163" i="1"/>
  <c r="E163" i="1" s="1"/>
  <c r="D162" i="1"/>
  <c r="E162" i="1" s="1"/>
  <c r="D161" i="1"/>
  <c r="E161" i="1" s="1"/>
  <c r="D160" i="1"/>
  <c r="E160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D147" i="1"/>
  <c r="E147" i="1" s="1"/>
  <c r="D146" i="1"/>
  <c r="E146" i="1" s="1"/>
  <c r="D145" i="1"/>
  <c r="E145" i="1" s="1"/>
  <c r="D144" i="1"/>
  <c r="E144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D131" i="1"/>
  <c r="E131" i="1" s="1"/>
  <c r="D130" i="1"/>
  <c r="E130" i="1" s="1"/>
  <c r="D129" i="1"/>
  <c r="E129" i="1" s="1"/>
  <c r="D128" i="1"/>
  <c r="E128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D275" i="1"/>
  <c r="E275" i="1" s="1"/>
  <c r="D115" i="1"/>
  <c r="E115" i="1" s="1"/>
  <c r="D114" i="1"/>
  <c r="E114" i="1" s="1"/>
  <c r="D113" i="1"/>
  <c r="E113" i="1" s="1"/>
  <c r="D112" i="1"/>
  <c r="E112" i="1" s="1"/>
  <c r="D111" i="1"/>
  <c r="E111" i="1" s="1"/>
  <c r="D110" i="1"/>
  <c r="E110" i="1" s="1"/>
  <c r="D109" i="1"/>
  <c r="E109" i="1" s="1"/>
  <c r="D281" i="1"/>
  <c r="E281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280" i="1"/>
  <c r="E280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282" i="1"/>
  <c r="E282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36" i="1"/>
  <c r="E36" i="1" s="1"/>
  <c r="D34" i="1"/>
  <c r="E34" i="1" s="1"/>
  <c r="D35" i="1"/>
  <c r="E35" i="1" s="1"/>
  <c r="D271" i="1"/>
  <c r="E271" i="1" s="1"/>
  <c r="D272" i="1"/>
  <c r="E272" i="1" s="1"/>
  <c r="D273" i="1"/>
  <c r="E273" i="1" s="1"/>
  <c r="D274" i="1"/>
  <c r="E274" i="1" s="1"/>
  <c r="D277" i="1"/>
  <c r="E277" i="1" s="1"/>
  <c r="D276" i="1"/>
  <c r="E276" i="1" s="1"/>
  <c r="D278" i="1"/>
  <c r="E278" i="1" s="1"/>
  <c r="D279" i="1"/>
  <c r="E279" i="1" s="1"/>
  <c r="D283" i="1"/>
  <c r="E283" i="1" s="1"/>
  <c r="D284" i="1"/>
  <c r="E284" i="1" s="1"/>
  <c r="D11" i="1"/>
  <c r="E11" i="1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10" i="1"/>
  <c r="E10" i="1" s="1"/>
  <c r="D2" i="1"/>
  <c r="E2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270" i="1"/>
  <c r="E270" i="1" s="1"/>
  <c r="D191" i="1" l="1"/>
  <c r="E191" i="1" s="1"/>
  <c r="D194" i="1"/>
  <c r="E194" i="1" s="1"/>
  <c r="D193" i="1"/>
  <c r="E193" i="1" s="1"/>
  <c r="D178" i="1"/>
  <c r="E178" i="1" s="1"/>
  <c r="D198" i="1" l="1"/>
  <c r="E198" i="1" s="1"/>
  <c r="D201" i="1"/>
  <c r="E201" i="1" s="1"/>
  <c r="D196" i="1"/>
  <c r="E196" i="1" s="1"/>
  <c r="D179" i="1"/>
  <c r="E179" i="1" s="1"/>
  <c r="D197" i="1" l="1"/>
  <c r="E197" i="1" s="1"/>
  <c r="D180" i="1"/>
  <c r="E180" i="1" s="1"/>
  <c r="D199" i="1" l="1"/>
  <c r="E199" i="1" s="1"/>
  <c r="D181" i="1"/>
  <c r="E181" i="1" s="1"/>
  <c r="D200" i="1" l="1"/>
  <c r="E200" i="1" s="1"/>
  <c r="D182" i="1"/>
  <c r="E182" i="1" s="1"/>
  <c r="D202" i="1" l="1"/>
  <c r="E202" i="1" s="1"/>
  <c r="D183" i="1"/>
  <c r="E183" i="1" s="1"/>
  <c r="D203" i="1" l="1"/>
  <c r="E203" i="1" s="1"/>
  <c r="D184" i="1"/>
  <c r="E184" i="1" s="1"/>
  <c r="D204" i="1" l="1"/>
  <c r="E204" i="1" s="1"/>
  <c r="D185" i="1"/>
  <c r="E185" i="1" s="1"/>
  <c r="D205" i="1" l="1"/>
  <c r="E205" i="1" s="1"/>
  <c r="D186" i="1"/>
  <c r="E186" i="1" s="1"/>
  <c r="D206" i="1" l="1"/>
  <c r="E206" i="1" s="1"/>
  <c r="D187" i="1"/>
  <c r="E187" i="1" s="1"/>
  <c r="D207" i="1" l="1"/>
  <c r="E207" i="1" s="1"/>
  <c r="D208" i="1" l="1"/>
  <c r="E208" i="1" s="1"/>
  <c r="D188" i="1"/>
  <c r="E188" i="1" s="1"/>
  <c r="D209" i="1" l="1"/>
  <c r="E209" i="1" s="1"/>
  <c r="D189" i="1"/>
  <c r="E189" i="1" s="1"/>
  <c r="D210" i="1" l="1"/>
  <c r="E210" i="1" s="1"/>
  <c r="D190" i="1"/>
  <c r="E190" i="1" s="1"/>
  <c r="D211" i="1" l="1"/>
  <c r="E211" i="1" s="1"/>
  <c r="D192" i="1"/>
  <c r="E192" i="1" s="1"/>
  <c r="D195" i="1"/>
  <c r="E195" i="1" s="1"/>
  <c r="D212" i="1" l="1"/>
  <c r="E212" i="1" s="1"/>
  <c r="D213" i="1" l="1"/>
  <c r="E213" i="1" s="1"/>
  <c r="D214" i="1" l="1"/>
  <c r="E214" i="1" s="1"/>
  <c r="D215" i="1" l="1"/>
  <c r="E215" i="1" s="1"/>
  <c r="D216" i="1" l="1"/>
  <c r="E216" i="1" s="1"/>
  <c r="D217" i="1" l="1"/>
  <c r="E217" i="1" s="1"/>
  <c r="D218" i="1" l="1"/>
  <c r="E218" i="1" s="1"/>
  <c r="D219" i="1" l="1"/>
  <c r="E219" i="1" s="1"/>
  <c r="D220" i="1" l="1"/>
  <c r="E220" i="1" s="1"/>
  <c r="D221" i="1" l="1"/>
  <c r="E221" i="1" s="1"/>
  <c r="D222" i="1" l="1"/>
  <c r="E222" i="1" s="1"/>
  <c r="D223" i="1" l="1"/>
  <c r="E223" i="1" s="1"/>
  <c r="D224" i="1" l="1"/>
  <c r="E224" i="1" s="1"/>
  <c r="D225" i="1" l="1"/>
  <c r="E225" i="1" s="1"/>
  <c r="D226" i="1" l="1"/>
  <c r="E226" i="1" s="1"/>
  <c r="D227" i="1" l="1"/>
  <c r="E227" i="1" s="1"/>
  <c r="D228" i="1" l="1"/>
  <c r="E228" i="1" s="1"/>
  <c r="D229" i="1" l="1"/>
  <c r="E229" i="1" s="1"/>
  <c r="D230" i="1" l="1"/>
  <c r="E230" i="1" s="1"/>
  <c r="D231" i="1" l="1"/>
  <c r="E231" i="1" s="1"/>
  <c r="D232" i="1" l="1"/>
  <c r="E232" i="1" s="1"/>
  <c r="D233" i="1" l="1"/>
  <c r="E233" i="1" s="1"/>
  <c r="D234" i="1" l="1"/>
  <c r="E234" i="1" s="1"/>
  <c r="D235" i="1" l="1"/>
  <c r="E235" i="1" s="1"/>
  <c r="D236" i="1" l="1"/>
  <c r="E236" i="1" s="1"/>
  <c r="D237" i="1" l="1"/>
  <c r="E237" i="1" s="1"/>
  <c r="D238" i="1" l="1"/>
  <c r="E238" i="1" s="1"/>
  <c r="D239" i="1" l="1"/>
  <c r="E239" i="1" s="1"/>
  <c r="D240" i="1" l="1"/>
  <c r="E240" i="1" s="1"/>
  <c r="D241" i="1" l="1"/>
  <c r="E241" i="1" s="1"/>
  <c r="D242" i="1" l="1"/>
  <c r="E242" i="1" s="1"/>
  <c r="D243" i="1" l="1"/>
  <c r="E243" i="1" s="1"/>
  <c r="D244" i="1" l="1"/>
  <c r="E244" i="1" s="1"/>
  <c r="D245" i="1" l="1"/>
  <c r="E245" i="1" s="1"/>
  <c r="D246" i="1" l="1"/>
  <c r="E246" i="1" s="1"/>
  <c r="D247" i="1" l="1"/>
  <c r="E247" i="1" s="1"/>
  <c r="D248" i="1" l="1"/>
  <c r="E248" i="1" s="1"/>
  <c r="D249" i="1" l="1"/>
  <c r="E249" i="1" s="1"/>
  <c r="D250" i="1" l="1"/>
  <c r="E250" i="1" s="1"/>
  <c r="D251" i="1" l="1"/>
  <c r="E251" i="1" s="1"/>
  <c r="D252" i="1" l="1"/>
  <c r="E252" i="1" s="1"/>
  <c r="D253" i="1" l="1"/>
  <c r="E253" i="1" s="1"/>
  <c r="D254" i="1" l="1"/>
  <c r="E254" i="1" s="1"/>
  <c r="D255" i="1" l="1"/>
  <c r="E255" i="1" s="1"/>
  <c r="D256" i="1" l="1"/>
  <c r="E256" i="1" s="1"/>
  <c r="D257" i="1" l="1"/>
  <c r="E257" i="1" s="1"/>
  <c r="D258" i="1" l="1"/>
  <c r="E258" i="1" s="1"/>
  <c r="D259" i="1" l="1"/>
  <c r="E259" i="1" s="1"/>
  <c r="D260" i="1" l="1"/>
  <c r="E260" i="1" s="1"/>
  <c r="D261" i="1" l="1"/>
  <c r="E261" i="1" s="1"/>
  <c r="D262" i="1" l="1"/>
  <c r="E262" i="1" s="1"/>
  <c r="D263" i="1" l="1"/>
  <c r="E263" i="1" s="1"/>
  <c r="D264" i="1" l="1"/>
  <c r="E264" i="1" s="1"/>
  <c r="D265" i="1" l="1"/>
  <c r="E265" i="1" s="1"/>
  <c r="D266" i="1" l="1"/>
  <c r="E266" i="1" s="1"/>
  <c r="D268" i="1" l="1"/>
  <c r="E268" i="1" s="1"/>
  <c r="D267" i="1"/>
  <c r="E267" i="1" s="1"/>
</calcChain>
</file>

<file path=xl/sharedStrings.xml><?xml version="1.0" encoding="utf-8"?>
<sst xmlns="http://schemas.openxmlformats.org/spreadsheetml/2006/main" count="867" uniqueCount="509">
  <si>
    <t>Starting_Word</t>
  </si>
  <si>
    <t>Final_Word</t>
  </si>
  <si>
    <t>a</t>
  </si>
  <si>
    <t>restraint</t>
  </si>
  <si>
    <t>splitters</t>
  </si>
  <si>
    <t>lacerations</t>
  </si>
  <si>
    <t>by</t>
  </si>
  <si>
    <t>no</t>
  </si>
  <si>
    <t>refractions</t>
  </si>
  <si>
    <t>en</t>
  </si>
  <si>
    <t>bargeman</t>
  </si>
  <si>
    <t>pi</t>
  </si>
  <si>
    <t>despoiled</t>
  </si>
  <si>
    <t>is</t>
  </si>
  <si>
    <t>despotic</t>
  </si>
  <si>
    <t>go</t>
  </si>
  <si>
    <t>gorgeous</t>
  </si>
  <si>
    <t>indict</t>
  </si>
  <si>
    <t>periodontics</t>
  </si>
  <si>
    <t>intending</t>
  </si>
  <si>
    <t>howlers</t>
  </si>
  <si>
    <t>on</t>
  </si>
  <si>
    <t>dominance</t>
  </si>
  <si>
    <t>me</t>
  </si>
  <si>
    <t>medication</t>
  </si>
  <si>
    <t>creative</t>
  </si>
  <si>
    <t>eviscerated</t>
  </si>
  <si>
    <t>blurry</t>
  </si>
  <si>
    <t>undertows</t>
  </si>
  <si>
    <t>to</t>
  </si>
  <si>
    <t>or</t>
  </si>
  <si>
    <t>devour</t>
  </si>
  <si>
    <t>decipher</t>
  </si>
  <si>
    <t>plainest</t>
  </si>
  <si>
    <t>es</t>
  </si>
  <si>
    <t>masteries</t>
  </si>
  <si>
    <t>i</t>
  </si>
  <si>
    <t>an</t>
  </si>
  <si>
    <t>nation</t>
  </si>
  <si>
    <t>er</t>
  </si>
  <si>
    <t>pointier</t>
  </si>
  <si>
    <t>plastering</t>
  </si>
  <si>
    <t>ed</t>
  </si>
  <si>
    <t>repulsed</t>
  </si>
  <si>
    <t>pa</t>
  </si>
  <si>
    <t>pulsated</t>
  </si>
  <si>
    <t>at</t>
  </si>
  <si>
    <t>pedestal</t>
  </si>
  <si>
    <t>medical</t>
  </si>
  <si>
    <t>Difficulty Level</t>
  </si>
  <si>
    <t>crater</t>
  </si>
  <si>
    <t>us</t>
  </si>
  <si>
    <t>bushy</t>
  </si>
  <si>
    <t>sea</t>
  </si>
  <si>
    <t>stale</t>
  </si>
  <si>
    <t>sip</t>
  </si>
  <si>
    <t>spire</t>
  </si>
  <si>
    <t>in</t>
  </si>
  <si>
    <t>diner</t>
  </si>
  <si>
    <t>think</t>
  </si>
  <si>
    <t>it</t>
  </si>
  <si>
    <t>set</t>
  </si>
  <si>
    <t>started</t>
  </si>
  <si>
    <t>pal</t>
  </si>
  <si>
    <t>player</t>
  </si>
  <si>
    <t>as</t>
  </si>
  <si>
    <t>scared</t>
  </si>
  <si>
    <t>ice</t>
  </si>
  <si>
    <t>since</t>
  </si>
  <si>
    <t>ar</t>
  </si>
  <si>
    <t>racer</t>
  </si>
  <si>
    <t>Level</t>
  </si>
  <si>
    <t>angelic</t>
  </si>
  <si>
    <t>ta</t>
  </si>
  <si>
    <t>Assign_Puzzle_Difficulty</t>
  </si>
  <si>
    <t>Level_Grouping</t>
  </si>
  <si>
    <t>rotation</t>
  </si>
  <si>
    <t>ruminates</t>
  </si>
  <si>
    <t>emancipator</t>
  </si>
  <si>
    <t>re</t>
  </si>
  <si>
    <t>calories</t>
  </si>
  <si>
    <t>act</t>
  </si>
  <si>
    <t>secretary</t>
  </si>
  <si>
    <t>ear</t>
  </si>
  <si>
    <t>visceral</t>
  </si>
  <si>
    <t>can</t>
  </si>
  <si>
    <t>congeal</t>
  </si>
  <si>
    <t>clovers</t>
  </si>
  <si>
    <t>hem</t>
  </si>
  <si>
    <t>helmet</t>
  </si>
  <si>
    <t>leer</t>
  </si>
  <si>
    <t>remodeled</t>
  </si>
  <si>
    <t>are</t>
  </si>
  <si>
    <t>dermal</t>
  </si>
  <si>
    <t>aid</t>
  </si>
  <si>
    <t>admiral</t>
  </si>
  <si>
    <t>myriad</t>
  </si>
  <si>
    <t>nag</t>
  </si>
  <si>
    <t>restraining</t>
  </si>
  <si>
    <t>id</t>
  </si>
  <si>
    <t>rescind</t>
  </si>
  <si>
    <t>bruised</t>
  </si>
  <si>
    <t>laminator</t>
  </si>
  <si>
    <t>be</t>
  </si>
  <si>
    <t>birdies</t>
  </si>
  <si>
    <t>rat</t>
  </si>
  <si>
    <t>nastier</t>
  </si>
  <si>
    <t>sentient</t>
  </si>
  <si>
    <t>candied</t>
  </si>
  <si>
    <t>dancers</t>
  </si>
  <si>
    <t>remediate</t>
  </si>
  <si>
    <t>rookie</t>
  </si>
  <si>
    <t>beginner</t>
  </si>
  <si>
    <t>novice</t>
  </si>
  <si>
    <t>expert</t>
  </si>
  <si>
    <t>wordsmith</t>
  </si>
  <si>
    <t>traipsing</t>
  </si>
  <si>
    <t>remainder</t>
  </si>
  <si>
    <t>ad</t>
  </si>
  <si>
    <t>demeanor</t>
  </si>
  <si>
    <t>fa</t>
  </si>
  <si>
    <t>flaunt</t>
  </si>
  <si>
    <t>defaults</t>
  </si>
  <si>
    <t>garbage</t>
  </si>
  <si>
    <t>asp</t>
  </si>
  <si>
    <t>ace</t>
  </si>
  <si>
    <t>correlated</t>
  </si>
  <si>
    <t>retired</t>
  </si>
  <si>
    <t>reactions</t>
  </si>
  <si>
    <t>hap</t>
  </si>
  <si>
    <t>parchment</t>
  </si>
  <si>
    <t>so</t>
  </si>
  <si>
    <t>Checked?</t>
  </si>
  <si>
    <t>Yes</t>
  </si>
  <si>
    <t>assertion</t>
  </si>
  <si>
    <t>carotenoid</t>
  </si>
  <si>
    <t>dip</t>
  </si>
  <si>
    <t>despair</t>
  </si>
  <si>
    <t>sis</t>
  </si>
  <si>
    <t>presides</t>
  </si>
  <si>
    <t>cap</t>
  </si>
  <si>
    <t>scrapple</t>
  </si>
  <si>
    <t>premier</t>
  </si>
  <si>
    <t>el</t>
  </si>
  <si>
    <t>reclaimed</t>
  </si>
  <si>
    <t>map</t>
  </si>
  <si>
    <t>primate</t>
  </si>
  <si>
    <t>tarmac</t>
  </si>
  <si>
    <t>ma</t>
  </si>
  <si>
    <t>rampant</t>
  </si>
  <si>
    <t>air</t>
  </si>
  <si>
    <t>perspirant</t>
  </si>
  <si>
    <t>cot</t>
  </si>
  <si>
    <t>coronate</t>
  </si>
  <si>
    <t>sum</t>
  </si>
  <si>
    <t>supreme</t>
  </si>
  <si>
    <t>insure</t>
  </si>
  <si>
    <t>dig</t>
  </si>
  <si>
    <t>unsigned</t>
  </si>
  <si>
    <t>dues</t>
  </si>
  <si>
    <t>recaused</t>
  </si>
  <si>
    <t>cede</t>
  </si>
  <si>
    <t>recessed</t>
  </si>
  <si>
    <t>sorcery</t>
  </si>
  <si>
    <t>foolish</t>
  </si>
  <si>
    <t>appraise</t>
  </si>
  <si>
    <t>sapphire</t>
  </si>
  <si>
    <t>leisured</t>
  </si>
  <si>
    <t>pie</t>
  </si>
  <si>
    <t>perspire</t>
  </si>
  <si>
    <t>if</t>
  </si>
  <si>
    <t>filtered</t>
  </si>
  <si>
    <t>fe</t>
  </si>
  <si>
    <t>deflect</t>
  </si>
  <si>
    <t>edible</t>
  </si>
  <si>
    <t>sac</t>
  </si>
  <si>
    <t>desecrate</t>
  </si>
  <si>
    <t>say</t>
  </si>
  <si>
    <t>sprayed</t>
  </si>
  <si>
    <t>some</t>
  </si>
  <si>
    <t>mongrels</t>
  </si>
  <si>
    <t>ba</t>
  </si>
  <si>
    <t>bayonet</t>
  </si>
  <si>
    <t>my</t>
  </si>
  <si>
    <t>armory</t>
  </si>
  <si>
    <t>stanchions</t>
  </si>
  <si>
    <t>sequin</t>
  </si>
  <si>
    <t>equations</t>
  </si>
  <si>
    <t>un</t>
  </si>
  <si>
    <t>indenture</t>
  </si>
  <si>
    <t>quire</t>
  </si>
  <si>
    <t>requiters</t>
  </si>
  <si>
    <t>matinee</t>
  </si>
  <si>
    <t>embarked</t>
  </si>
  <si>
    <t>excreted</t>
  </si>
  <si>
    <t>incite</t>
  </si>
  <si>
    <t>distance</t>
  </si>
  <si>
    <t>lac</t>
  </si>
  <si>
    <t>actuals</t>
  </si>
  <si>
    <t>ironclad</t>
  </si>
  <si>
    <t>rad</t>
  </si>
  <si>
    <t>comrade</t>
  </si>
  <si>
    <t>con</t>
  </si>
  <si>
    <t>anchor</t>
  </si>
  <si>
    <t>arcane</t>
  </si>
  <si>
    <t>nut</t>
  </si>
  <si>
    <t>caution</t>
  </si>
  <si>
    <t>got</t>
  </si>
  <si>
    <t>hangout</t>
  </si>
  <si>
    <t>amp</t>
  </si>
  <si>
    <t>campfire</t>
  </si>
  <si>
    <t>tossing</t>
  </si>
  <si>
    <t>pet</t>
  </si>
  <si>
    <t>enterprise</t>
  </si>
  <si>
    <t>tag</t>
  </si>
  <si>
    <t>cremating</t>
  </si>
  <si>
    <t>tier</t>
  </si>
  <si>
    <t>carpeting</t>
  </si>
  <si>
    <t>oh</t>
  </si>
  <si>
    <t>mouth</t>
  </si>
  <si>
    <t>gin</t>
  </si>
  <si>
    <t>shirting</t>
  </si>
  <si>
    <t>pretending</t>
  </si>
  <si>
    <t>deform</t>
  </si>
  <si>
    <t>performed</t>
  </si>
  <si>
    <t>mutiny</t>
  </si>
  <si>
    <t>net</t>
  </si>
  <si>
    <t>invert</t>
  </si>
  <si>
    <t>iridescent</t>
  </si>
  <si>
    <t>rant</t>
  </si>
  <si>
    <t>decorating</t>
  </si>
  <si>
    <t>raptor</t>
  </si>
  <si>
    <t>parroted</t>
  </si>
  <si>
    <t>clarinet</t>
  </si>
  <si>
    <t>dewatering</t>
  </si>
  <si>
    <t>scurried</t>
  </si>
  <si>
    <t>units</t>
  </si>
  <si>
    <t>antiquates</t>
  </si>
  <si>
    <t>cost</t>
  </si>
  <si>
    <t>costliest</t>
  </si>
  <si>
    <t>gent</t>
  </si>
  <si>
    <t>dear</t>
  </si>
  <si>
    <t>replicated</t>
  </si>
  <si>
    <t>integrating</t>
  </si>
  <si>
    <t>moan</t>
  </si>
  <si>
    <t>montages</t>
  </si>
  <si>
    <t>lotion</t>
  </si>
  <si>
    <t>monolith</t>
  </si>
  <si>
    <t>rips</t>
  </si>
  <si>
    <t>crispier</t>
  </si>
  <si>
    <t>dug</t>
  </si>
  <si>
    <t>aground</t>
  </si>
  <si>
    <t>eloping</t>
  </si>
  <si>
    <t>red</t>
  </si>
  <si>
    <t>relaxed</t>
  </si>
  <si>
    <t>lad</t>
  </si>
  <si>
    <t>exalted</t>
  </si>
  <si>
    <t>den</t>
  </si>
  <si>
    <t>indexed</t>
  </si>
  <si>
    <t>quit</t>
  </si>
  <si>
    <t>quantities</t>
  </si>
  <si>
    <t>sat</t>
  </si>
  <si>
    <t>watchers</t>
  </si>
  <si>
    <t>raid</t>
  </si>
  <si>
    <t>boarding</t>
  </si>
  <si>
    <t>veal</t>
  </si>
  <si>
    <t>revalued</t>
  </si>
  <si>
    <t>vie</t>
  </si>
  <si>
    <t>violent</t>
  </si>
  <si>
    <t>live</t>
  </si>
  <si>
    <t>believer</t>
  </si>
  <si>
    <t>elf</t>
  </si>
  <si>
    <t>fealty</t>
  </si>
  <si>
    <t>dive</t>
  </si>
  <si>
    <t>shriveled</t>
  </si>
  <si>
    <t>rate</t>
  </si>
  <si>
    <t>relevant</t>
  </si>
  <si>
    <t>drag</t>
  </si>
  <si>
    <t>generated</t>
  </si>
  <si>
    <t>entice</t>
  </si>
  <si>
    <t>respecting</t>
  </si>
  <si>
    <t>dupe</t>
  </si>
  <si>
    <t>nest</t>
  </si>
  <si>
    <t>excretions</t>
  </si>
  <si>
    <t>dame</t>
  </si>
  <si>
    <t>exclaimed</t>
  </si>
  <si>
    <t>tile</t>
  </si>
  <si>
    <t>politest</t>
  </si>
  <si>
    <t>portions</t>
  </si>
  <si>
    <t>trounce</t>
  </si>
  <si>
    <t>countryside</t>
  </si>
  <si>
    <t>pics</t>
  </si>
  <si>
    <t>processing</t>
  </si>
  <si>
    <t>equator</t>
  </si>
  <si>
    <t>rutting</t>
  </si>
  <si>
    <t>cluttering</t>
  </si>
  <si>
    <t>rile</t>
  </si>
  <si>
    <t>slathering</t>
  </si>
  <si>
    <t>eve</t>
  </si>
  <si>
    <t>resolve</t>
  </si>
  <si>
    <t>lid</t>
  </si>
  <si>
    <t>spiraled</t>
  </si>
  <si>
    <t>bi</t>
  </si>
  <si>
    <t>gerbil</t>
  </si>
  <si>
    <t>grid</t>
  </si>
  <si>
    <t>badgering</t>
  </si>
  <si>
    <t>leg</t>
  </si>
  <si>
    <t>entangled</t>
  </si>
  <si>
    <t>dole</t>
  </si>
  <si>
    <t>melodic</t>
  </si>
  <si>
    <t>dips</t>
  </si>
  <si>
    <t>flimsy</t>
  </si>
  <si>
    <t>ale</t>
  </si>
  <si>
    <t>wrangle</t>
  </si>
  <si>
    <t>tuna</t>
  </si>
  <si>
    <t>debutante</t>
  </si>
  <si>
    <t>solvent</t>
  </si>
  <si>
    <t>inter</t>
  </si>
  <si>
    <t>nose</t>
  </si>
  <si>
    <t>antidotes</t>
  </si>
  <si>
    <t>tab</t>
  </si>
  <si>
    <t>obstinate</t>
  </si>
  <si>
    <t>antic</t>
  </si>
  <si>
    <t>placation</t>
  </si>
  <si>
    <t>leap</t>
  </si>
  <si>
    <t>placemat</t>
  </si>
  <si>
    <t>core</t>
  </si>
  <si>
    <t>contrive</t>
  </si>
  <si>
    <t>Trial Version</t>
  </si>
  <si>
    <t>bygone</t>
  </si>
  <si>
    <t>doe</t>
  </si>
  <si>
    <t>Puzzle_Date</t>
  </si>
  <si>
    <t>teal</t>
  </si>
  <si>
    <t>Start_Length_for_reference</t>
  </si>
  <si>
    <t>Creation_Order_for_reference</t>
  </si>
  <si>
    <t>Final_Length_for_reference</t>
  </si>
  <si>
    <t>conn</t>
  </si>
  <si>
    <t>constrained</t>
  </si>
  <si>
    <t>tree</t>
  </si>
  <si>
    <t>adventure</t>
  </si>
  <si>
    <t>diet</t>
  </si>
  <si>
    <t>curtsied</t>
  </si>
  <si>
    <t>sine</t>
  </si>
  <si>
    <t>burnished</t>
  </si>
  <si>
    <t>lunar</t>
  </si>
  <si>
    <t>underlay</t>
  </si>
  <si>
    <t>uses</t>
  </si>
  <si>
    <t>measures</t>
  </si>
  <si>
    <t>rational</t>
  </si>
  <si>
    <t>declaration</t>
  </si>
  <si>
    <t>lean</t>
  </si>
  <si>
    <t>universal</t>
  </si>
  <si>
    <t>inn</t>
  </si>
  <si>
    <t>nannies</t>
  </si>
  <si>
    <t>relational</t>
  </si>
  <si>
    <t>sire</t>
  </si>
  <si>
    <t>repulsing</t>
  </si>
  <si>
    <t>rigs</t>
  </si>
  <si>
    <t>usurping</t>
  </si>
  <si>
    <t>mite</t>
  </si>
  <si>
    <t>grumpiest</t>
  </si>
  <si>
    <t>pair</t>
  </si>
  <si>
    <t>primates</t>
  </si>
  <si>
    <t>scar</t>
  </si>
  <si>
    <t>furnaces</t>
  </si>
  <si>
    <t>find</t>
  </si>
  <si>
    <t>befriend</t>
  </si>
  <si>
    <t>head</t>
  </si>
  <si>
    <t>threaded</t>
  </si>
  <si>
    <t>directive</t>
  </si>
  <si>
    <t>descriptive</t>
  </si>
  <si>
    <t>impervious</t>
  </si>
  <si>
    <t>mire</t>
  </si>
  <si>
    <t>rims</t>
  </si>
  <si>
    <t>compilers</t>
  </si>
  <si>
    <t>nigh</t>
  </si>
  <si>
    <t>nightmare</t>
  </si>
  <si>
    <t>ailing</t>
  </si>
  <si>
    <t>violating</t>
  </si>
  <si>
    <t>sent</t>
  </si>
  <si>
    <t>fitness</t>
  </si>
  <si>
    <t>prestige</t>
  </si>
  <si>
    <t>ode</t>
  </si>
  <si>
    <t>outsider</t>
  </si>
  <si>
    <t>pear</t>
  </si>
  <si>
    <t>primeval</t>
  </si>
  <si>
    <t>sing</t>
  </si>
  <si>
    <t>desecrating</t>
  </si>
  <si>
    <t>vacating</t>
  </si>
  <si>
    <t>excavating</t>
  </si>
  <si>
    <t>seal</t>
  </si>
  <si>
    <t>cavalries</t>
  </si>
  <si>
    <t>ring</t>
  </si>
  <si>
    <t>coronating</t>
  </si>
  <si>
    <t>done</t>
  </si>
  <si>
    <t>contrived</t>
  </si>
  <si>
    <t>cod</t>
  </si>
  <si>
    <t>crooked</t>
  </si>
  <si>
    <t>soup</t>
  </si>
  <si>
    <t>opossum</t>
  </si>
  <si>
    <t>bale</t>
  </si>
  <si>
    <t>arboreal</t>
  </si>
  <si>
    <t>trumpets</t>
  </si>
  <si>
    <t>customer</t>
  </si>
  <si>
    <t>imitate</t>
  </si>
  <si>
    <t>destigmatize</t>
  </si>
  <si>
    <t>truncates</t>
  </si>
  <si>
    <t>comparing</t>
  </si>
  <si>
    <t>rang</t>
  </si>
  <si>
    <t>rigatoni</t>
  </si>
  <si>
    <t>here</t>
  </si>
  <si>
    <t>letterhead</t>
  </si>
  <si>
    <t>insulting</t>
  </si>
  <si>
    <t>confident</t>
  </si>
  <si>
    <t>liter</t>
  </si>
  <si>
    <t>resilient</t>
  </si>
  <si>
    <t>sins</t>
  </si>
  <si>
    <t>seemings</t>
  </si>
  <si>
    <t>teed</t>
  </si>
  <si>
    <t>precedent</t>
  </si>
  <si>
    <t>appraised</t>
  </si>
  <si>
    <t>bold</t>
  </si>
  <si>
    <t>boldness</t>
  </si>
  <si>
    <t>signatory</t>
  </si>
  <si>
    <t>gain</t>
  </si>
  <si>
    <t>garnishes</t>
  </si>
  <si>
    <t>veer</t>
  </si>
  <si>
    <t>recessive</t>
  </si>
  <si>
    <t>tint</t>
  </si>
  <si>
    <t>toasting</t>
  </si>
  <si>
    <t>wins</t>
  </si>
  <si>
    <t>wingspan</t>
  </si>
  <si>
    <t>vole</t>
  </si>
  <si>
    <t>slovenly</t>
  </si>
  <si>
    <t>tire</t>
  </si>
  <si>
    <t>pedestrian</t>
  </si>
  <si>
    <t>lint</t>
  </si>
  <si>
    <t>ventilating</t>
  </si>
  <si>
    <t>tan</t>
  </si>
  <si>
    <t>tantrum</t>
  </si>
  <si>
    <t>hat</t>
  </si>
  <si>
    <t>hydrate</t>
  </si>
  <si>
    <t>site</t>
  </si>
  <si>
    <t>insolent</t>
  </si>
  <si>
    <t>tip</t>
  </si>
  <si>
    <t>poignant</t>
  </si>
  <si>
    <t>deserted</t>
  </si>
  <si>
    <t>snag</t>
  </si>
  <si>
    <t>sneaking</t>
  </si>
  <si>
    <t>pied</t>
  </si>
  <si>
    <t>disciple</t>
  </si>
  <si>
    <t>near</t>
  </si>
  <si>
    <t>do</t>
  </si>
  <si>
    <t>mourned</t>
  </si>
  <si>
    <t>mad</t>
  </si>
  <si>
    <t>nomadic</t>
  </si>
  <si>
    <t>theory</t>
  </si>
  <si>
    <t>hens</t>
  </si>
  <si>
    <t>honesty</t>
  </si>
  <si>
    <t>taut</t>
  </si>
  <si>
    <t>taunted</t>
  </si>
  <si>
    <t>ornaments</t>
  </si>
  <si>
    <t>roan</t>
  </si>
  <si>
    <t>pronate</t>
  </si>
  <si>
    <t>mead</t>
  </si>
  <si>
    <t>dementia</t>
  </si>
  <si>
    <t>ices</t>
  </si>
  <si>
    <t>sphincter</t>
  </si>
  <si>
    <t>dire</t>
  </si>
  <si>
    <t>epidurals</t>
  </si>
  <si>
    <t>pale</t>
  </si>
  <si>
    <t>penalty</t>
  </si>
  <si>
    <t>hear</t>
  </si>
  <si>
    <t>hardiest</t>
  </si>
  <si>
    <t>tin</t>
  </si>
  <si>
    <t>nightly</t>
  </si>
  <si>
    <t>am</t>
  </si>
  <si>
    <t>majesty</t>
  </si>
  <si>
    <t>seam</t>
  </si>
  <si>
    <t>nightmares</t>
  </si>
  <si>
    <t>deducted</t>
  </si>
  <si>
    <t>docents</t>
  </si>
  <si>
    <t>pail</t>
  </si>
  <si>
    <t>perineal</t>
  </si>
  <si>
    <t>rubs</t>
  </si>
  <si>
    <t>brushing</t>
  </si>
  <si>
    <t>gale</t>
  </si>
  <si>
    <t>vigilance</t>
  </si>
  <si>
    <t>race</t>
  </si>
  <si>
    <t>clearing</t>
  </si>
  <si>
    <t>dune</t>
  </si>
  <si>
    <t>introduced</t>
  </si>
  <si>
    <t>spin</t>
  </si>
  <si>
    <t>terrapins</t>
  </si>
  <si>
    <t>star</t>
  </si>
  <si>
    <t>thrashing</t>
  </si>
  <si>
    <t>crag</t>
  </si>
  <si>
    <t>memories</t>
  </si>
  <si>
    <t>cardinal</t>
  </si>
  <si>
    <t>heartless</t>
  </si>
  <si>
    <t>seer</t>
  </si>
  <si>
    <t>feathers</t>
  </si>
  <si>
    <t>detrimental</t>
  </si>
  <si>
    <t>rots</t>
  </si>
  <si>
    <t>TESTING / LEVEL UNASSIGNED</t>
  </si>
  <si>
    <t>nay</t>
  </si>
  <si>
    <t>greasing</t>
  </si>
  <si>
    <t>skin</t>
  </si>
  <si>
    <t>barreling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</si>
</sst>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E057D-2E67-F24B-9CB8-52616B38AEE2}" name="Table1" displayName="Table1" ref="A1:J284" totalsRowShown="0" headerRowDxfId="11" dataDxfId="10">
  <autoFilter ref="A1:J284" xr:uid="{936E057D-2E67-F24B-9CB8-52616B38AEE2}"/>
  <sortState xmlns:xlrd2="http://schemas.microsoft.com/office/spreadsheetml/2017/richdata2" ref="A2:J284">
    <sortCondition ref="G1:G284"/>
  </sortState>
  <tableColumns count="10">
    <tableColumn id="1" xr3:uid="{095F8C6B-7722-534D-9FE6-5CD0030FDA17}" name="Starting_Word" dataDxfId="9"/>
    <tableColumn id="2" xr3:uid="{6179D140-5D67-234B-84CF-A998B3B9124C}" name="Final_Word" dataDxfId="8"/>
    <tableColumn id="3" xr3:uid="{2B6B1C1D-4BBD-C245-BD3A-002920FE680E}" name="Assign_Puzzle_Difficulty" dataDxfId="7"/>
    <tableColumn id="4" xr3:uid="{CCAE497B-ADCC-8443-83FE-665A5718CFD8}" name="Level_Grouping" dataDxfId="6">
      <calculatedColumnFormula>ROUNDDOWN(C2,0)</calculatedColumnFormula>
    </tableColumn>
    <tableColumn id="5" xr3:uid="{63D72ED5-E278-354F-87DC-DAC9F46C88C1}" name="Level" dataDxfId="5">
      <calculatedColumnFormula>VLOOKUP(D2,'Level Key'!$A$1:$B$7,2,FALSE)</calculatedColumnFormula>
    </tableColumn>
    <tableColumn id="6" xr3:uid="{B1BF2F93-0311-9B40-AA52-E328CE36CA77}" name="Checked?" dataDxfId="4"/>
    <tableColumn id="7" xr3:uid="{96C06536-92A0-334E-A061-29C345222B53}" name="Puzzle_Date" dataDxfId="3"/>
    <tableColumn id="9" xr3:uid="{0FDB5E0F-10A4-E141-A68A-99F65DA87A35}" name="Creation_Order_for_reference" dataDxfId="2"/>
    <tableColumn id="10" xr3:uid="{1AB21636-E38C-3347-8F3F-8F13D6D6547C}" name="Start_Length_for_reference" dataDxfId="1">
      <calculatedColumnFormula>LEN(A2)</calculatedColumnFormula>
    </tableColumn>
    <tableColumn id="11" xr3:uid="{DF68516B-31B8-2945-8F93-74E8279C15FF}" name="Final_Length_for_reference" dataDxfId="0">
      <calculatedColumnFormula>LEN(Table1[[#This Row],[Final_Word]])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54E5-5349-E64C-A4D6-694FDA2997A1}">
  <dimension ref="A1:J284"/>
  <sheetViews>
    <sheetView tabSelected="1" zoomScale="116" workbookViewId="0">
      <selection activeCell="E179" sqref="E179"/>
    </sheetView>
  </sheetViews>
  <sheetFormatPr baseColWidth="10" defaultRowHeight="16" x14ac:dyDescent="0.2"/>
  <cols>
    <col min="1" max="1" width="18.1640625" bestFit="1" customWidth="1"/>
    <col min="2" max="2" width="15.6640625" bestFit="1" customWidth="1"/>
    <col min="3" max="3" width="23.5" bestFit="1" customWidth="1"/>
    <col min="4" max="4" width="18.1640625" bestFit="1" customWidth="1"/>
    <col min="5" max="5" width="27.1640625" bestFit="1" customWidth="1"/>
    <col min="6" max="6" width="22.5" bestFit="1" customWidth="1"/>
    <col min="7" max="7" width="16.33203125" bestFit="1" customWidth="1"/>
    <col min="8" max="8" width="39.33203125" bestFit="1" customWidth="1"/>
    <col min="9" max="10" width="29.1640625" bestFit="1" customWidth="1"/>
  </cols>
  <sheetData>
    <row r="1" spans="1:10" x14ac:dyDescent="0.2">
      <c r="A1" s="1" t="s">
        <v>0</v>
      </c>
      <c r="B1" s="1" t="s">
        <v>1</v>
      </c>
      <c r="C1" s="1" t="s">
        <v>74</v>
      </c>
      <c r="D1" s="1" t="s">
        <v>75</v>
      </c>
      <c r="E1" s="1" t="s">
        <v>71</v>
      </c>
      <c r="F1" s="1" t="s">
        <v>132</v>
      </c>
      <c r="G1" s="1" t="s">
        <v>331</v>
      </c>
      <c r="H1" s="1" t="s">
        <v>334</v>
      </c>
      <c r="I1" s="1" t="s">
        <v>333</v>
      </c>
      <c r="J1" s="1" t="s">
        <v>335</v>
      </c>
    </row>
    <row r="2" spans="1:10" x14ac:dyDescent="0.2">
      <c r="A2" s="1" t="s">
        <v>312</v>
      </c>
      <c r="B2" s="1" t="s">
        <v>48</v>
      </c>
      <c r="C2" s="1">
        <v>1.95</v>
      </c>
      <c r="D2" s="1">
        <f t="shared" ref="D2:D65" si="0">ROUNDDOWN(C2,0)</f>
        <v>1</v>
      </c>
      <c r="E2" s="1" t="str">
        <f>VLOOKUP(D2,'Level Key'!$A$1:$B$7,2,FALSE)</f>
        <v>beginner</v>
      </c>
      <c r="F2" s="1" t="s">
        <v>328</v>
      </c>
      <c r="G2" s="2">
        <v>45820</v>
      </c>
      <c r="H2" s="1">
        <v>21</v>
      </c>
      <c r="I2" s="1">
        <f t="shared" ref="I2:I65" si="1">LEN(A2)</f>
        <v>3</v>
      </c>
      <c r="J2" s="1">
        <f>LEN(Table1[[#This Row],[Final_Word]])</f>
        <v>7</v>
      </c>
    </row>
    <row r="3" spans="1:10" x14ac:dyDescent="0.2">
      <c r="A3" s="1" t="s">
        <v>30</v>
      </c>
      <c r="B3" s="1" t="s">
        <v>31</v>
      </c>
      <c r="C3" s="1">
        <v>1.1000000000000001</v>
      </c>
      <c r="D3" s="1">
        <f t="shared" si="0"/>
        <v>1</v>
      </c>
      <c r="E3" s="1" t="str">
        <f>VLOOKUP(D3,'Level Key'!$A$1:$B$7,2,FALSE)</f>
        <v>beginner</v>
      </c>
      <c r="F3" s="1" t="s">
        <v>133</v>
      </c>
      <c r="G3" s="2">
        <v>45821</v>
      </c>
      <c r="H3" s="1">
        <v>13</v>
      </c>
      <c r="I3" s="1">
        <f t="shared" si="1"/>
        <v>2</v>
      </c>
      <c r="J3" s="1">
        <f>LEN(Table1[[#This Row],[Final_Word]])</f>
        <v>6</v>
      </c>
    </row>
    <row r="4" spans="1:10" x14ac:dyDescent="0.2">
      <c r="A4" s="1" t="s">
        <v>218</v>
      </c>
      <c r="B4" s="1" t="s">
        <v>20</v>
      </c>
      <c r="C4" s="1">
        <v>1.2</v>
      </c>
      <c r="D4" s="1">
        <f t="shared" si="0"/>
        <v>1</v>
      </c>
      <c r="E4" s="1" t="str">
        <f>VLOOKUP(D4,'Level Key'!$A$1:$B$7,2,FALSE)</f>
        <v>beginner</v>
      </c>
      <c r="F4" s="1" t="s">
        <v>133</v>
      </c>
      <c r="G4" s="2">
        <v>45822</v>
      </c>
      <c r="H4" s="1">
        <v>14</v>
      </c>
      <c r="I4" s="1">
        <f t="shared" si="1"/>
        <v>2</v>
      </c>
      <c r="J4" s="1">
        <f>LEN(Table1[[#This Row],[Final_Word]])</f>
        <v>7</v>
      </c>
    </row>
    <row r="5" spans="1:10" x14ac:dyDescent="0.2">
      <c r="A5" s="1" t="s">
        <v>6</v>
      </c>
      <c r="B5" s="1" t="s">
        <v>329</v>
      </c>
      <c r="C5" s="1">
        <v>2.0049999999999999</v>
      </c>
      <c r="D5" s="1">
        <f t="shared" si="0"/>
        <v>2</v>
      </c>
      <c r="E5" s="1" t="str">
        <f>VLOOKUP(D5,'Level Key'!$A$1:$B$7,2,FALSE)</f>
        <v>novice</v>
      </c>
      <c r="F5" s="1" t="s">
        <v>133</v>
      </c>
      <c r="G5" s="2">
        <v>45823</v>
      </c>
      <c r="H5" s="1">
        <v>15</v>
      </c>
      <c r="I5" s="1">
        <f t="shared" si="1"/>
        <v>2</v>
      </c>
      <c r="J5" s="1">
        <f>LEN(Table1[[#This Row],[Final_Word]])</f>
        <v>6</v>
      </c>
    </row>
    <row r="6" spans="1:10" x14ac:dyDescent="0.2">
      <c r="A6" s="1" t="s">
        <v>36</v>
      </c>
      <c r="B6" s="1" t="s">
        <v>4</v>
      </c>
      <c r="C6" s="1">
        <v>1.3</v>
      </c>
      <c r="D6" s="1">
        <f t="shared" si="0"/>
        <v>1</v>
      </c>
      <c r="E6" s="1" t="str">
        <f>VLOOKUP(D6,'Level Key'!$A$1:$B$7,2,FALSE)</f>
        <v>beginner</v>
      </c>
      <c r="F6" s="1" t="s">
        <v>133</v>
      </c>
      <c r="G6" s="2">
        <v>45824</v>
      </c>
      <c r="H6" s="1">
        <v>16</v>
      </c>
      <c r="I6" s="1">
        <f t="shared" si="1"/>
        <v>1</v>
      </c>
      <c r="J6" s="1">
        <f>LEN(Table1[[#This Row],[Final_Word]])</f>
        <v>9</v>
      </c>
    </row>
    <row r="7" spans="1:10" x14ac:dyDescent="0.2">
      <c r="A7" s="1" t="s">
        <v>332</v>
      </c>
      <c r="B7" s="1" t="s">
        <v>33</v>
      </c>
      <c r="C7" s="1">
        <v>2.85</v>
      </c>
      <c r="D7" s="1">
        <f t="shared" si="0"/>
        <v>2</v>
      </c>
      <c r="E7" s="1" t="str">
        <f>VLOOKUP(D7,'Level Key'!$A$1:$B$7,2,FALSE)</f>
        <v>novice</v>
      </c>
      <c r="F7" s="1" t="s">
        <v>133</v>
      </c>
      <c r="G7" s="2">
        <v>45825</v>
      </c>
      <c r="H7" s="1">
        <v>17</v>
      </c>
      <c r="I7" s="1">
        <f t="shared" si="1"/>
        <v>4</v>
      </c>
      <c r="J7" s="1">
        <f>LEN(Table1[[#This Row],[Final_Word]])</f>
        <v>8</v>
      </c>
    </row>
    <row r="8" spans="1:10" x14ac:dyDescent="0.2">
      <c r="A8" s="1" t="s">
        <v>2</v>
      </c>
      <c r="B8" s="1" t="s">
        <v>3</v>
      </c>
      <c r="C8" s="1">
        <v>1.4</v>
      </c>
      <c r="D8" s="1">
        <f t="shared" si="0"/>
        <v>1</v>
      </c>
      <c r="E8" s="1" t="str">
        <f>VLOOKUP(D8,'Level Key'!$A$1:$B$7,2,FALSE)</f>
        <v>beginner</v>
      </c>
      <c r="F8" s="1" t="s">
        <v>133</v>
      </c>
      <c r="G8" s="2">
        <v>45826</v>
      </c>
      <c r="H8" s="1">
        <v>18</v>
      </c>
      <c r="I8" s="1">
        <f t="shared" si="1"/>
        <v>1</v>
      </c>
      <c r="J8" s="1">
        <f>LEN(Table1[[#This Row],[Final_Word]])</f>
        <v>9</v>
      </c>
    </row>
    <row r="9" spans="1:10" x14ac:dyDescent="0.2">
      <c r="A9" s="1" t="s">
        <v>326</v>
      </c>
      <c r="B9" s="1" t="s">
        <v>327</v>
      </c>
      <c r="C9" s="1">
        <v>2.3193830000000002</v>
      </c>
      <c r="D9" s="1">
        <f t="shared" si="0"/>
        <v>2</v>
      </c>
      <c r="E9" s="1" t="str">
        <f>VLOOKUP(D9,'Level Key'!$A$1:$B$7,2,FALSE)</f>
        <v>novice</v>
      </c>
      <c r="F9" s="1" t="s">
        <v>133</v>
      </c>
      <c r="G9" s="2">
        <v>45827</v>
      </c>
      <c r="H9" s="1">
        <v>189</v>
      </c>
      <c r="I9" s="1">
        <f t="shared" si="1"/>
        <v>4</v>
      </c>
      <c r="J9" s="1">
        <f>LEN(Table1[[#This Row],[Final_Word]])</f>
        <v>8</v>
      </c>
    </row>
    <row r="10" spans="1:10" x14ac:dyDescent="0.2">
      <c r="A10" s="1" t="s">
        <v>11</v>
      </c>
      <c r="B10" s="1" t="s">
        <v>32</v>
      </c>
      <c r="C10" s="1">
        <v>2.1</v>
      </c>
      <c r="D10" s="1">
        <f t="shared" si="0"/>
        <v>2</v>
      </c>
      <c r="E10" s="1" t="str">
        <f>VLOOKUP(D10,'Level Key'!$A$1:$B$7,2,FALSE)</f>
        <v>novice</v>
      </c>
      <c r="F10" s="1" t="s">
        <v>133</v>
      </c>
      <c r="G10" s="2">
        <v>45828</v>
      </c>
      <c r="H10" s="1">
        <v>20</v>
      </c>
      <c r="I10" s="1">
        <f t="shared" si="1"/>
        <v>2</v>
      </c>
      <c r="J10" s="1">
        <f>LEN(Table1[[#This Row],[Final_Word]])</f>
        <v>8</v>
      </c>
    </row>
    <row r="11" spans="1:10" x14ac:dyDescent="0.2">
      <c r="A11" s="1" t="s">
        <v>6</v>
      </c>
      <c r="B11" s="1" t="s">
        <v>27</v>
      </c>
      <c r="C11" s="1">
        <v>1</v>
      </c>
      <c r="D11" s="1">
        <f t="shared" si="0"/>
        <v>1</v>
      </c>
      <c r="E11" s="1" t="str">
        <f>VLOOKUP(D11,'Level Key'!$A$1:$B$7,2,FALSE)</f>
        <v>beginner</v>
      </c>
      <c r="F11" s="1" t="s">
        <v>328</v>
      </c>
      <c r="G11" s="2">
        <v>45829</v>
      </c>
      <c r="H11" s="1">
        <v>12</v>
      </c>
      <c r="I11" s="1">
        <f t="shared" si="1"/>
        <v>2</v>
      </c>
      <c r="J11" s="1">
        <f>LEN(Table1[[#This Row],[Final_Word]])</f>
        <v>6</v>
      </c>
    </row>
    <row r="12" spans="1:10" x14ac:dyDescent="0.2">
      <c r="A12" s="1" t="s">
        <v>37</v>
      </c>
      <c r="B12" s="1" t="s">
        <v>38</v>
      </c>
      <c r="C12" s="1">
        <v>2.0009999999999999</v>
      </c>
      <c r="D12" s="1">
        <f t="shared" si="0"/>
        <v>2</v>
      </c>
      <c r="E12" s="1" t="str">
        <f>VLOOKUP(D12,'Level Key'!$A$1:$B$7,2,FALSE)</f>
        <v>novice</v>
      </c>
      <c r="F12" s="1" t="s">
        <v>133</v>
      </c>
      <c r="G12" s="2">
        <v>45830</v>
      </c>
      <c r="H12" s="1">
        <v>22</v>
      </c>
      <c r="I12" s="1">
        <f t="shared" si="1"/>
        <v>2</v>
      </c>
      <c r="J12" s="1">
        <f>LEN(Table1[[#This Row],[Final_Word]])</f>
        <v>6</v>
      </c>
    </row>
    <row r="13" spans="1:10" x14ac:dyDescent="0.2">
      <c r="A13" s="1" t="s">
        <v>13</v>
      </c>
      <c r="B13" s="1" t="s">
        <v>14</v>
      </c>
      <c r="C13" s="1">
        <v>3.1029</v>
      </c>
      <c r="D13" s="1">
        <f t="shared" si="0"/>
        <v>3</v>
      </c>
      <c r="E13" s="1" t="str">
        <f>VLOOKUP(D13,'Level Key'!$A$1:$B$7,2,FALSE)</f>
        <v>expert</v>
      </c>
      <c r="F13" s="1" t="s">
        <v>328</v>
      </c>
      <c r="G13" s="2">
        <v>45831</v>
      </c>
      <c r="H13" s="1">
        <v>23</v>
      </c>
      <c r="I13" s="1">
        <f t="shared" si="1"/>
        <v>2</v>
      </c>
      <c r="J13" s="1">
        <f>LEN(Table1[[#This Row],[Final_Word]])</f>
        <v>8</v>
      </c>
    </row>
    <row r="14" spans="1:10" x14ac:dyDescent="0.2">
      <c r="A14" s="1" t="s">
        <v>15</v>
      </c>
      <c r="B14" s="1" t="s">
        <v>16</v>
      </c>
      <c r="C14" s="1">
        <v>3.01</v>
      </c>
      <c r="D14" s="1">
        <f t="shared" si="0"/>
        <v>3</v>
      </c>
      <c r="E14" s="1" t="str">
        <f>VLOOKUP(D14,'Level Key'!$A$1:$B$7,2,FALSE)</f>
        <v>expert</v>
      </c>
      <c r="F14" s="1" t="s">
        <v>133</v>
      </c>
      <c r="G14" s="2">
        <v>45832</v>
      </c>
      <c r="H14" s="1">
        <v>24</v>
      </c>
      <c r="I14" s="1">
        <f t="shared" si="1"/>
        <v>2</v>
      </c>
      <c r="J14" s="1">
        <f>LEN(Table1[[#This Row],[Final_Word]])</f>
        <v>8</v>
      </c>
    </row>
    <row r="15" spans="1:10" x14ac:dyDescent="0.2">
      <c r="A15" s="1" t="s">
        <v>2</v>
      </c>
      <c r="B15" s="1" t="s">
        <v>134</v>
      </c>
      <c r="C15" s="1">
        <v>2.1</v>
      </c>
      <c r="D15" s="1">
        <f t="shared" si="0"/>
        <v>2</v>
      </c>
      <c r="E15" s="1" t="str">
        <f>VLOOKUP(D15,'Level Key'!$A$1:$B$7,2,FALSE)</f>
        <v>novice</v>
      </c>
      <c r="F15" s="1" t="s">
        <v>133</v>
      </c>
      <c r="G15" s="2">
        <v>45833</v>
      </c>
      <c r="H15" s="1">
        <v>25</v>
      </c>
      <c r="I15" s="1">
        <f t="shared" si="1"/>
        <v>1</v>
      </c>
      <c r="J15" s="1">
        <f>LEN(Table1[[#This Row],[Final_Word]])</f>
        <v>9</v>
      </c>
    </row>
    <row r="16" spans="1:10" x14ac:dyDescent="0.2">
      <c r="A16" s="1" t="s">
        <v>11</v>
      </c>
      <c r="B16" s="1" t="s">
        <v>12</v>
      </c>
      <c r="C16" s="1">
        <v>2.12</v>
      </c>
      <c r="D16" s="1">
        <f t="shared" si="0"/>
        <v>2</v>
      </c>
      <c r="E16" s="1" t="str">
        <f>VLOOKUP(D16,'Level Key'!$A$1:$B$7,2,FALSE)</f>
        <v>novice</v>
      </c>
      <c r="F16" s="1" t="s">
        <v>133</v>
      </c>
      <c r="G16" s="2">
        <v>45834</v>
      </c>
      <c r="H16" s="1">
        <v>26</v>
      </c>
      <c r="I16" s="1">
        <f t="shared" si="1"/>
        <v>2</v>
      </c>
      <c r="J16" s="1">
        <f>LEN(Table1[[#This Row],[Final_Word]])</f>
        <v>9</v>
      </c>
    </row>
    <row r="17" spans="1:10" x14ac:dyDescent="0.2">
      <c r="A17" s="1" t="s">
        <v>9</v>
      </c>
      <c r="B17" s="1" t="s">
        <v>10</v>
      </c>
      <c r="C17" s="1">
        <v>2.2000000000000002</v>
      </c>
      <c r="D17" s="1">
        <f t="shared" si="0"/>
        <v>2</v>
      </c>
      <c r="E17" s="1" t="str">
        <f>VLOOKUP(D17,'Level Key'!$A$1:$B$7,2,FALSE)</f>
        <v>novice</v>
      </c>
      <c r="F17" s="1" t="s">
        <v>133</v>
      </c>
      <c r="G17" s="2">
        <v>45835</v>
      </c>
      <c r="H17" s="1">
        <v>27</v>
      </c>
      <c r="I17" s="1">
        <f t="shared" si="1"/>
        <v>2</v>
      </c>
      <c r="J17" s="1">
        <f>LEN(Table1[[#This Row],[Final_Word]])</f>
        <v>8</v>
      </c>
    </row>
    <row r="18" spans="1:10" x14ac:dyDescent="0.2">
      <c r="A18" s="1" t="s">
        <v>34</v>
      </c>
      <c r="B18" s="1" t="s">
        <v>35</v>
      </c>
      <c r="C18" s="1">
        <v>2.2000000000000002</v>
      </c>
      <c r="D18" s="1">
        <f t="shared" si="0"/>
        <v>2</v>
      </c>
      <c r="E18" s="1" t="str">
        <f>VLOOKUP(D18,'Level Key'!$A$1:$B$7,2,FALSE)</f>
        <v>novice</v>
      </c>
      <c r="F18" s="1" t="s">
        <v>133</v>
      </c>
      <c r="G18" s="2">
        <v>45836</v>
      </c>
      <c r="H18" s="1">
        <v>28</v>
      </c>
      <c r="I18" s="1">
        <f t="shared" si="1"/>
        <v>2</v>
      </c>
      <c r="J18" s="1">
        <f>LEN(Table1[[#This Row],[Final_Word]])</f>
        <v>9</v>
      </c>
    </row>
    <row r="19" spans="1:10" x14ac:dyDescent="0.2">
      <c r="A19" s="1" t="s">
        <v>46</v>
      </c>
      <c r="B19" s="1" t="s">
        <v>47</v>
      </c>
      <c r="C19" s="1">
        <v>2.23</v>
      </c>
      <c r="D19" s="1">
        <f t="shared" si="0"/>
        <v>2</v>
      </c>
      <c r="E19" s="1" t="str">
        <f>VLOOKUP(D19,'Level Key'!$A$1:$B$7,2,FALSE)</f>
        <v>novice</v>
      </c>
      <c r="F19" s="1" t="s">
        <v>133</v>
      </c>
      <c r="G19" s="2">
        <v>45837</v>
      </c>
      <c r="H19" s="1">
        <v>29</v>
      </c>
      <c r="I19" s="1">
        <f t="shared" si="1"/>
        <v>2</v>
      </c>
      <c r="J19" s="1">
        <f>LEN(Table1[[#This Row],[Final_Word]])</f>
        <v>8</v>
      </c>
    </row>
    <row r="20" spans="1:10" x14ac:dyDescent="0.2">
      <c r="A20" s="1" t="s">
        <v>7</v>
      </c>
      <c r="B20" s="1" t="s">
        <v>8</v>
      </c>
      <c r="C20" s="1">
        <v>4.01</v>
      </c>
      <c r="D20" s="1">
        <f t="shared" si="0"/>
        <v>4</v>
      </c>
      <c r="E20" s="1" t="str">
        <f>VLOOKUP(D20,'Level Key'!$A$1:$B$7,2,FALSE)</f>
        <v>wordsmith</v>
      </c>
      <c r="F20" s="1" t="s">
        <v>133</v>
      </c>
      <c r="G20" s="2">
        <v>45838</v>
      </c>
      <c r="H20" s="1">
        <v>30</v>
      </c>
      <c r="I20" s="1">
        <f t="shared" si="1"/>
        <v>2</v>
      </c>
      <c r="J20" s="1">
        <f>LEN(Table1[[#This Row],[Final_Word]])</f>
        <v>11</v>
      </c>
    </row>
    <row r="21" spans="1:10" x14ac:dyDescent="0.2">
      <c r="A21" s="1" t="s">
        <v>330</v>
      </c>
      <c r="B21" s="1" t="s">
        <v>28</v>
      </c>
      <c r="C21" s="1">
        <v>2.6</v>
      </c>
      <c r="D21" s="1">
        <f t="shared" si="0"/>
        <v>2</v>
      </c>
      <c r="E21" s="1" t="str">
        <f>VLOOKUP(D21,'Level Key'!$A$1:$B$7,2,FALSE)</f>
        <v>novice</v>
      </c>
      <c r="F21" s="1" t="s">
        <v>328</v>
      </c>
      <c r="G21" s="2">
        <v>45839</v>
      </c>
      <c r="H21" s="1">
        <v>31</v>
      </c>
      <c r="I21" s="1">
        <f t="shared" si="1"/>
        <v>3</v>
      </c>
      <c r="J21" s="1">
        <f>LEN(Table1[[#This Row],[Final_Word]])</f>
        <v>9</v>
      </c>
    </row>
    <row r="22" spans="1:10" x14ac:dyDescent="0.2">
      <c r="A22" s="1" t="s">
        <v>44</v>
      </c>
      <c r="B22" s="1" t="s">
        <v>45</v>
      </c>
      <c r="C22" s="1">
        <v>2.8</v>
      </c>
      <c r="D22" s="1">
        <f t="shared" si="0"/>
        <v>2</v>
      </c>
      <c r="E22" s="1" t="str">
        <f>VLOOKUP(D22,'Level Key'!$A$1:$B$7,2,FALSE)</f>
        <v>novice</v>
      </c>
      <c r="F22" s="1" t="s">
        <v>133</v>
      </c>
      <c r="G22" s="2">
        <v>45840</v>
      </c>
      <c r="H22" s="1">
        <v>32</v>
      </c>
      <c r="I22" s="1">
        <f t="shared" si="1"/>
        <v>2</v>
      </c>
      <c r="J22" s="1">
        <f>LEN(Table1[[#This Row],[Final_Word]])</f>
        <v>8</v>
      </c>
    </row>
    <row r="23" spans="1:10" x14ac:dyDescent="0.2">
      <c r="A23" s="1" t="s">
        <v>25</v>
      </c>
      <c r="B23" s="1" t="s">
        <v>26</v>
      </c>
      <c r="C23" s="1">
        <v>3.2</v>
      </c>
      <c r="D23" s="1">
        <f t="shared" si="0"/>
        <v>3</v>
      </c>
      <c r="E23" s="1" t="str">
        <f>VLOOKUP(D23,'Level Key'!$A$1:$B$7,2,FALSE)</f>
        <v>expert</v>
      </c>
      <c r="F23" s="1" t="s">
        <v>133</v>
      </c>
      <c r="G23" s="2">
        <v>45841</v>
      </c>
      <c r="H23" s="1">
        <v>33</v>
      </c>
      <c r="I23" s="1">
        <f t="shared" si="1"/>
        <v>8</v>
      </c>
      <c r="J23" s="1">
        <f>LEN(Table1[[#This Row],[Final_Word]])</f>
        <v>11</v>
      </c>
    </row>
    <row r="24" spans="1:10" x14ac:dyDescent="0.2">
      <c r="A24" s="1" t="s">
        <v>42</v>
      </c>
      <c r="B24" s="1" t="s">
        <v>43</v>
      </c>
      <c r="C24" s="1">
        <v>3.23</v>
      </c>
      <c r="D24" s="1">
        <f t="shared" si="0"/>
        <v>3</v>
      </c>
      <c r="E24" s="1" t="str">
        <f>VLOOKUP(D24,'Level Key'!$A$1:$B$7,2,FALSE)</f>
        <v>expert</v>
      </c>
      <c r="F24" s="1" t="s">
        <v>133</v>
      </c>
      <c r="G24" s="2">
        <v>45842</v>
      </c>
      <c r="H24" s="1">
        <v>34</v>
      </c>
      <c r="I24" s="1">
        <f t="shared" si="1"/>
        <v>2</v>
      </c>
      <c r="J24" s="1">
        <f>LEN(Table1[[#This Row],[Final_Word]])</f>
        <v>8</v>
      </c>
    </row>
    <row r="25" spans="1:10" x14ac:dyDescent="0.2">
      <c r="A25" s="1" t="s">
        <v>23</v>
      </c>
      <c r="B25" s="1" t="s">
        <v>24</v>
      </c>
      <c r="C25" s="1">
        <v>3.4</v>
      </c>
      <c r="D25" s="1">
        <f t="shared" si="0"/>
        <v>3</v>
      </c>
      <c r="E25" s="1" t="str">
        <f>VLOOKUP(D25,'Level Key'!$A$1:$B$7,2,FALSE)</f>
        <v>expert</v>
      </c>
      <c r="F25" s="1" t="s">
        <v>133</v>
      </c>
      <c r="G25" s="2">
        <v>45843</v>
      </c>
      <c r="H25" s="1">
        <v>35</v>
      </c>
      <c r="I25" s="1">
        <f t="shared" si="1"/>
        <v>2</v>
      </c>
      <c r="J25" s="1">
        <f>LEN(Table1[[#This Row],[Final_Word]])</f>
        <v>10</v>
      </c>
    </row>
    <row r="26" spans="1:10" x14ac:dyDescent="0.2">
      <c r="A26" s="1" t="s">
        <v>39</v>
      </c>
      <c r="B26" s="1" t="s">
        <v>40</v>
      </c>
      <c r="C26" s="1">
        <v>3.42</v>
      </c>
      <c r="D26" s="1">
        <f t="shared" si="0"/>
        <v>3</v>
      </c>
      <c r="E26" s="1" t="str">
        <f>VLOOKUP(D26,'Level Key'!$A$1:$B$7,2,FALSE)</f>
        <v>expert</v>
      </c>
      <c r="F26" s="1" t="s">
        <v>133</v>
      </c>
      <c r="G26" s="2">
        <v>45844</v>
      </c>
      <c r="H26" s="1">
        <v>36</v>
      </c>
      <c r="I26" s="1">
        <f t="shared" si="1"/>
        <v>2</v>
      </c>
      <c r="J26" s="1">
        <f>LEN(Table1[[#This Row],[Final_Word]])</f>
        <v>8</v>
      </c>
    </row>
    <row r="27" spans="1:10" x14ac:dyDescent="0.2">
      <c r="A27" s="1" t="s">
        <v>13</v>
      </c>
      <c r="B27" s="1" t="s">
        <v>41</v>
      </c>
      <c r="C27" s="1">
        <v>3.5</v>
      </c>
      <c r="D27" s="1">
        <f t="shared" si="0"/>
        <v>3</v>
      </c>
      <c r="E27" s="1" t="str">
        <f>VLOOKUP(D27,'Level Key'!$A$1:$B$7,2,FALSE)</f>
        <v>expert</v>
      </c>
      <c r="F27" s="1" t="s">
        <v>133</v>
      </c>
      <c r="G27" s="2">
        <v>45845</v>
      </c>
      <c r="H27" s="1">
        <v>37</v>
      </c>
      <c r="I27" s="1">
        <f t="shared" si="1"/>
        <v>2</v>
      </c>
      <c r="J27" s="1">
        <f>LEN(Table1[[#This Row],[Final_Word]])</f>
        <v>10</v>
      </c>
    </row>
    <row r="28" spans="1:10" x14ac:dyDescent="0.2">
      <c r="A28" s="1" t="s">
        <v>36</v>
      </c>
      <c r="B28" s="1" t="s">
        <v>5</v>
      </c>
      <c r="C28" s="1">
        <v>4.8</v>
      </c>
      <c r="D28" s="1">
        <f t="shared" si="0"/>
        <v>4</v>
      </c>
      <c r="E28" s="1" t="str">
        <f>VLOOKUP(D28,'Level Key'!$A$1:$B$7,2,FALSE)</f>
        <v>wordsmith</v>
      </c>
      <c r="F28" s="1" t="s">
        <v>133</v>
      </c>
      <c r="G28" s="2">
        <v>45846</v>
      </c>
      <c r="H28" s="1">
        <v>38</v>
      </c>
      <c r="I28" s="1">
        <f t="shared" si="1"/>
        <v>1</v>
      </c>
      <c r="J28" s="1">
        <f>LEN(Table1[[#This Row],[Final_Word]])</f>
        <v>11</v>
      </c>
    </row>
    <row r="29" spans="1:10" x14ac:dyDescent="0.2">
      <c r="A29" s="1" t="s">
        <v>29</v>
      </c>
      <c r="B29" s="1" t="s">
        <v>76</v>
      </c>
      <c r="C29" s="1">
        <v>3.51</v>
      </c>
      <c r="D29" s="1">
        <f t="shared" si="0"/>
        <v>3</v>
      </c>
      <c r="E29" s="1" t="str">
        <f>VLOOKUP(D29,'Level Key'!$A$1:$B$7,2,FALSE)</f>
        <v>expert</v>
      </c>
      <c r="F29" s="1" t="s">
        <v>133</v>
      </c>
      <c r="G29" s="2">
        <v>45847</v>
      </c>
      <c r="H29" s="1">
        <v>39</v>
      </c>
      <c r="I29" s="1">
        <f t="shared" si="1"/>
        <v>2</v>
      </c>
      <c r="J29" s="1">
        <f>LEN(Table1[[#This Row],[Final_Word]])</f>
        <v>8</v>
      </c>
    </row>
    <row r="30" spans="1:10" x14ac:dyDescent="0.2">
      <c r="A30" s="1" t="s">
        <v>9</v>
      </c>
      <c r="B30" s="1" t="s">
        <v>19</v>
      </c>
      <c r="C30" s="1">
        <v>4.0999999999999996</v>
      </c>
      <c r="D30" s="1">
        <f t="shared" si="0"/>
        <v>4</v>
      </c>
      <c r="E30" s="1" t="str">
        <f>VLOOKUP(D30,'Level Key'!$A$1:$B$7,2,FALSE)</f>
        <v>wordsmith</v>
      </c>
      <c r="F30" s="1" t="s">
        <v>133</v>
      </c>
      <c r="G30" s="2">
        <v>45848</v>
      </c>
      <c r="H30" s="1">
        <v>40</v>
      </c>
      <c r="I30" s="1">
        <f t="shared" si="1"/>
        <v>2</v>
      </c>
      <c r="J30" s="1">
        <f>LEN(Table1[[#This Row],[Final_Word]])</f>
        <v>9</v>
      </c>
    </row>
    <row r="31" spans="1:10" x14ac:dyDescent="0.2">
      <c r="A31" s="1" t="s">
        <v>2</v>
      </c>
      <c r="B31" s="1" t="s">
        <v>135</v>
      </c>
      <c r="C31" s="1">
        <v>3.9</v>
      </c>
      <c r="D31" s="1">
        <f t="shared" si="0"/>
        <v>3</v>
      </c>
      <c r="E31" s="1" t="str">
        <f>VLOOKUP(D31,'Level Key'!$A$1:$B$7,2,FALSE)</f>
        <v>expert</v>
      </c>
      <c r="F31" s="1" t="s">
        <v>133</v>
      </c>
      <c r="G31" s="2">
        <v>45849</v>
      </c>
      <c r="H31" s="1">
        <v>41</v>
      </c>
      <c r="I31" s="1">
        <f t="shared" si="1"/>
        <v>1</v>
      </c>
      <c r="J31" s="1">
        <f>LEN(Table1[[#This Row],[Final_Word]])</f>
        <v>10</v>
      </c>
    </row>
    <row r="32" spans="1:10" x14ac:dyDescent="0.2">
      <c r="A32" s="1" t="s">
        <v>17</v>
      </c>
      <c r="B32" s="1" t="s">
        <v>18</v>
      </c>
      <c r="C32" s="1">
        <v>4.5</v>
      </c>
      <c r="D32" s="1">
        <f t="shared" si="0"/>
        <v>4</v>
      </c>
      <c r="E32" s="1" t="str">
        <f>VLOOKUP(D32,'Level Key'!$A$1:$B$7,2,FALSE)</f>
        <v>wordsmith</v>
      </c>
      <c r="F32" s="1" t="s">
        <v>328</v>
      </c>
      <c r="G32" s="2">
        <v>45850</v>
      </c>
      <c r="H32" s="1">
        <v>42</v>
      </c>
      <c r="I32" s="1">
        <f t="shared" si="1"/>
        <v>6</v>
      </c>
      <c r="J32" s="1">
        <f>LEN(Table1[[#This Row],[Final_Word]])</f>
        <v>12</v>
      </c>
    </row>
    <row r="33" spans="1:10" x14ac:dyDescent="0.2">
      <c r="A33" s="1" t="s">
        <v>21</v>
      </c>
      <c r="B33" s="1" t="s">
        <v>22</v>
      </c>
      <c r="C33" s="1">
        <v>4.5199999999999996</v>
      </c>
      <c r="D33" s="1">
        <f t="shared" si="0"/>
        <v>4</v>
      </c>
      <c r="E33" s="1" t="str">
        <f>VLOOKUP(D33,'Level Key'!$A$1:$B$7,2,FALSE)</f>
        <v>wordsmith</v>
      </c>
      <c r="F33" s="1" t="s">
        <v>133</v>
      </c>
      <c r="G33" s="2">
        <v>45851</v>
      </c>
      <c r="H33" s="1">
        <v>43</v>
      </c>
      <c r="I33" s="1">
        <f t="shared" si="1"/>
        <v>2</v>
      </c>
      <c r="J33" s="1">
        <f>LEN(Table1[[#This Row],[Final_Word]])</f>
        <v>9</v>
      </c>
    </row>
    <row r="34" spans="1:10" x14ac:dyDescent="0.2">
      <c r="A34" s="1" t="s">
        <v>57</v>
      </c>
      <c r="B34" s="1" t="s">
        <v>72</v>
      </c>
      <c r="C34" s="1">
        <v>3.35</v>
      </c>
      <c r="D34" s="1">
        <f t="shared" si="0"/>
        <v>3</v>
      </c>
      <c r="E34" s="1" t="str">
        <f>VLOOKUP(D34,'Level Key'!$A$1:$B$7,2,FALSE)</f>
        <v>expert</v>
      </c>
      <c r="F34" s="1" t="s">
        <v>133</v>
      </c>
      <c r="G34" s="2">
        <v>45852</v>
      </c>
      <c r="H34" s="1">
        <v>44</v>
      </c>
      <c r="I34" s="1">
        <f t="shared" si="1"/>
        <v>2</v>
      </c>
      <c r="J34" s="1">
        <f>LEN(Table1[[#This Row],[Final_Word]])</f>
        <v>7</v>
      </c>
    </row>
    <row r="35" spans="1:10" x14ac:dyDescent="0.2">
      <c r="A35" s="1" t="s">
        <v>73</v>
      </c>
      <c r="B35" s="1" t="s">
        <v>78</v>
      </c>
      <c r="C35" s="1">
        <v>4.32</v>
      </c>
      <c r="D35" s="1">
        <f t="shared" si="0"/>
        <v>4</v>
      </c>
      <c r="E35" s="1" t="str">
        <f>VLOOKUP(D35,'Level Key'!$A$1:$B$7,2,FALSE)</f>
        <v>wordsmith</v>
      </c>
      <c r="F35" s="1" t="s">
        <v>133</v>
      </c>
      <c r="G35" s="2">
        <v>45853</v>
      </c>
      <c r="H35" s="1">
        <v>45</v>
      </c>
      <c r="I35" s="1">
        <f t="shared" si="1"/>
        <v>2</v>
      </c>
      <c r="J35" s="1">
        <f>LEN(Table1[[#This Row],[Final_Word]])</f>
        <v>11</v>
      </c>
    </row>
    <row r="36" spans="1:10" x14ac:dyDescent="0.2">
      <c r="A36" s="1" t="s">
        <v>51</v>
      </c>
      <c r="B36" s="1" t="s">
        <v>77</v>
      </c>
      <c r="C36" s="1">
        <v>4.2</v>
      </c>
      <c r="D36" s="1">
        <f t="shared" si="0"/>
        <v>4</v>
      </c>
      <c r="E36" s="1" t="str">
        <f>VLOOKUP(D36,'Level Key'!$A$1:$B$7,2,FALSE)</f>
        <v>wordsmith</v>
      </c>
      <c r="F36" s="1" t="s">
        <v>328</v>
      </c>
      <c r="G36" s="2">
        <v>45854</v>
      </c>
      <c r="H36" s="1">
        <v>46</v>
      </c>
      <c r="I36" s="1">
        <f t="shared" si="1"/>
        <v>2</v>
      </c>
      <c r="J36" s="1">
        <f>LEN(Table1[[#This Row],[Final_Word]])</f>
        <v>9</v>
      </c>
    </row>
    <row r="37" spans="1:10" x14ac:dyDescent="0.2">
      <c r="A37" s="1" t="s">
        <v>79</v>
      </c>
      <c r="B37" s="1" t="s">
        <v>80</v>
      </c>
      <c r="C37" s="1">
        <v>2.6</v>
      </c>
      <c r="D37" s="1">
        <f t="shared" si="0"/>
        <v>2</v>
      </c>
      <c r="E37" s="1" t="str">
        <f>VLOOKUP(D37,'Level Key'!$A$1:$B$7,2,FALSE)</f>
        <v>novice</v>
      </c>
      <c r="F37" s="1" t="s">
        <v>133</v>
      </c>
      <c r="G37" s="2">
        <v>45855</v>
      </c>
      <c r="H37" s="1">
        <v>47</v>
      </c>
      <c r="I37" s="1">
        <f t="shared" si="1"/>
        <v>2</v>
      </c>
      <c r="J37" s="1">
        <f>LEN(Table1[[#This Row],[Final_Word]])</f>
        <v>8</v>
      </c>
    </row>
    <row r="38" spans="1:10" x14ac:dyDescent="0.2">
      <c r="A38" s="1" t="s">
        <v>81</v>
      </c>
      <c r="B38" s="1" t="s">
        <v>82</v>
      </c>
      <c r="C38" s="1">
        <v>2.2999999999999998</v>
      </c>
      <c r="D38" s="1">
        <f t="shared" si="0"/>
        <v>2</v>
      </c>
      <c r="E38" s="1" t="str">
        <f>VLOOKUP(D38,'Level Key'!$A$1:$B$7,2,FALSE)</f>
        <v>novice</v>
      </c>
      <c r="F38" s="1" t="s">
        <v>133</v>
      </c>
      <c r="G38" s="2">
        <v>45856</v>
      </c>
      <c r="H38" s="1">
        <v>48</v>
      </c>
      <c r="I38" s="1">
        <f t="shared" si="1"/>
        <v>3</v>
      </c>
      <c r="J38" s="1">
        <f>LEN(Table1[[#This Row],[Final_Word]])</f>
        <v>9</v>
      </c>
    </row>
    <row r="39" spans="1:10" x14ac:dyDescent="0.2">
      <c r="A39" s="1" t="s">
        <v>83</v>
      </c>
      <c r="B39" s="1" t="s">
        <v>84</v>
      </c>
      <c r="C39" s="1">
        <v>2.7</v>
      </c>
      <c r="D39" s="1">
        <f t="shared" si="0"/>
        <v>2</v>
      </c>
      <c r="E39" s="1" t="str">
        <f>VLOOKUP(D39,'Level Key'!$A$1:$B$7,2,FALSE)</f>
        <v>novice</v>
      </c>
      <c r="F39" s="1" t="s">
        <v>133</v>
      </c>
      <c r="G39" s="2">
        <v>45857</v>
      </c>
      <c r="H39" s="1">
        <v>49</v>
      </c>
      <c r="I39" s="1">
        <f t="shared" si="1"/>
        <v>3</v>
      </c>
      <c r="J39" s="1">
        <f>LEN(Table1[[#This Row],[Final_Word]])</f>
        <v>8</v>
      </c>
    </row>
    <row r="40" spans="1:10" x14ac:dyDescent="0.2">
      <c r="A40" s="1" t="s">
        <v>85</v>
      </c>
      <c r="B40" s="1" t="s">
        <v>86</v>
      </c>
      <c r="C40" s="1">
        <v>1.95</v>
      </c>
      <c r="D40" s="1">
        <f t="shared" si="0"/>
        <v>1</v>
      </c>
      <c r="E40" s="1" t="str">
        <f>VLOOKUP(D40,'Level Key'!$A$1:$B$7,2,FALSE)</f>
        <v>beginner</v>
      </c>
      <c r="F40" s="1" t="s">
        <v>133</v>
      </c>
      <c r="G40" s="2">
        <v>45858</v>
      </c>
      <c r="H40" s="1">
        <v>50</v>
      </c>
      <c r="I40" s="1">
        <f t="shared" si="1"/>
        <v>3</v>
      </c>
      <c r="J40" s="1">
        <f>LEN(Table1[[#This Row],[Final_Word]])</f>
        <v>7</v>
      </c>
    </row>
    <row r="41" spans="1:10" x14ac:dyDescent="0.2">
      <c r="A41" s="1" t="s">
        <v>131</v>
      </c>
      <c r="B41" s="1" t="s">
        <v>87</v>
      </c>
      <c r="C41" s="1">
        <v>1.6</v>
      </c>
      <c r="D41" s="1">
        <f t="shared" si="0"/>
        <v>1</v>
      </c>
      <c r="E41" s="1" t="str">
        <f>VLOOKUP(D41,'Level Key'!$A$1:$B$7,2,FALSE)</f>
        <v>beginner</v>
      </c>
      <c r="F41" s="1" t="s">
        <v>133</v>
      </c>
      <c r="G41" s="2">
        <v>45859</v>
      </c>
      <c r="H41" s="1">
        <v>51</v>
      </c>
      <c r="I41" s="1">
        <f t="shared" si="1"/>
        <v>2</v>
      </c>
      <c r="J41" s="1">
        <f>LEN(Table1[[#This Row],[Final_Word]])</f>
        <v>7</v>
      </c>
    </row>
    <row r="42" spans="1:10" x14ac:dyDescent="0.2">
      <c r="A42" s="1" t="s">
        <v>88</v>
      </c>
      <c r="B42" s="1" t="s">
        <v>89</v>
      </c>
      <c r="C42" s="1">
        <v>1.2010000000000001</v>
      </c>
      <c r="D42" s="1">
        <f t="shared" si="0"/>
        <v>1</v>
      </c>
      <c r="E42" s="1" t="str">
        <f>VLOOKUP(D42,'Level Key'!$A$1:$B$7,2,FALSE)</f>
        <v>beginner</v>
      </c>
      <c r="F42" s="1" t="s">
        <v>133</v>
      </c>
      <c r="G42" s="2">
        <v>45860</v>
      </c>
      <c r="H42" s="1">
        <v>52</v>
      </c>
      <c r="I42" s="1">
        <f t="shared" si="1"/>
        <v>3</v>
      </c>
      <c r="J42" s="1">
        <f>LEN(Table1[[#This Row],[Final_Word]])</f>
        <v>6</v>
      </c>
    </row>
    <row r="43" spans="1:10" x14ac:dyDescent="0.2">
      <c r="A43" s="1" t="s">
        <v>90</v>
      </c>
      <c r="B43" s="1" t="s">
        <v>91</v>
      </c>
      <c r="C43" s="1">
        <v>2.1</v>
      </c>
      <c r="D43" s="1">
        <f t="shared" si="0"/>
        <v>2</v>
      </c>
      <c r="E43" s="1" t="str">
        <f>VLOOKUP(D43,'Level Key'!$A$1:$B$7,2,FALSE)</f>
        <v>novice</v>
      </c>
      <c r="F43" s="1" t="s">
        <v>133</v>
      </c>
      <c r="G43" s="2">
        <v>45861</v>
      </c>
      <c r="H43" s="1">
        <v>53</v>
      </c>
      <c r="I43" s="1">
        <f t="shared" si="1"/>
        <v>4</v>
      </c>
      <c r="J43" s="1">
        <f>LEN(Table1[[#This Row],[Final_Word]])</f>
        <v>9</v>
      </c>
    </row>
    <row r="44" spans="1:10" x14ac:dyDescent="0.2">
      <c r="A44" s="1" t="s">
        <v>94</v>
      </c>
      <c r="B44" s="1" t="s">
        <v>95</v>
      </c>
      <c r="C44" s="1">
        <v>2.2999999999999998</v>
      </c>
      <c r="D44" s="1">
        <f t="shared" si="0"/>
        <v>2</v>
      </c>
      <c r="E44" s="1" t="str">
        <f>VLOOKUP(D44,'Level Key'!$A$1:$B$7,2,FALSE)</f>
        <v>novice</v>
      </c>
      <c r="F44" s="1" t="s">
        <v>133</v>
      </c>
      <c r="G44" s="2">
        <v>45862</v>
      </c>
      <c r="H44" s="1">
        <v>55</v>
      </c>
      <c r="I44" s="1">
        <f t="shared" si="1"/>
        <v>3</v>
      </c>
      <c r="J44" s="1">
        <f>LEN(Table1[[#This Row],[Final_Word]])</f>
        <v>7</v>
      </c>
    </row>
    <row r="45" spans="1:10" x14ac:dyDescent="0.2">
      <c r="A45" s="1" t="s">
        <v>69</v>
      </c>
      <c r="B45" s="1" t="s">
        <v>96</v>
      </c>
      <c r="C45" s="1">
        <v>1.91</v>
      </c>
      <c r="D45" s="1">
        <f t="shared" si="0"/>
        <v>1</v>
      </c>
      <c r="E45" s="1" t="str">
        <f>VLOOKUP(D45,'Level Key'!$A$1:$B$7,2,FALSE)</f>
        <v>beginner</v>
      </c>
      <c r="F45" s="1" t="s">
        <v>133</v>
      </c>
      <c r="G45" s="2">
        <v>45863</v>
      </c>
      <c r="H45" s="1">
        <v>56</v>
      </c>
      <c r="I45" s="1">
        <f t="shared" si="1"/>
        <v>2</v>
      </c>
      <c r="J45" s="1">
        <f>LEN(Table1[[#This Row],[Final_Word]])</f>
        <v>6</v>
      </c>
    </row>
    <row r="46" spans="1:10" x14ac:dyDescent="0.2">
      <c r="A46" s="1" t="s">
        <v>97</v>
      </c>
      <c r="B46" s="1" t="s">
        <v>98</v>
      </c>
      <c r="C46" s="1">
        <v>2.34</v>
      </c>
      <c r="D46" s="1">
        <f t="shared" si="0"/>
        <v>2</v>
      </c>
      <c r="E46" s="1" t="str">
        <f>VLOOKUP(D46,'Level Key'!$A$1:$B$7,2,FALSE)</f>
        <v>novice</v>
      </c>
      <c r="F46" s="1" t="s">
        <v>133</v>
      </c>
      <c r="G46" s="2">
        <v>45864</v>
      </c>
      <c r="H46" s="1">
        <v>57</v>
      </c>
      <c r="I46" s="1">
        <f t="shared" si="1"/>
        <v>3</v>
      </c>
      <c r="J46" s="1">
        <f>LEN(Table1[[#This Row],[Final_Word]])</f>
        <v>11</v>
      </c>
    </row>
    <row r="47" spans="1:10" x14ac:dyDescent="0.2">
      <c r="A47" s="1" t="s">
        <v>99</v>
      </c>
      <c r="B47" s="1" t="s">
        <v>100</v>
      </c>
      <c r="C47" s="1">
        <v>1.8</v>
      </c>
      <c r="D47" s="1">
        <f t="shared" si="0"/>
        <v>1</v>
      </c>
      <c r="E47" s="1" t="str">
        <f>VLOOKUP(D47,'Level Key'!$A$1:$B$7,2,FALSE)</f>
        <v>beginner</v>
      </c>
      <c r="F47" s="1" t="s">
        <v>328</v>
      </c>
      <c r="G47" s="2">
        <v>45865</v>
      </c>
      <c r="H47" s="1">
        <v>58</v>
      </c>
      <c r="I47" s="1">
        <f t="shared" si="1"/>
        <v>2</v>
      </c>
      <c r="J47" s="1">
        <f>LEN(Table1[[#This Row],[Final_Word]])</f>
        <v>7</v>
      </c>
    </row>
    <row r="48" spans="1:10" x14ac:dyDescent="0.2">
      <c r="A48" s="1" t="s">
        <v>13</v>
      </c>
      <c r="B48" s="1" t="s">
        <v>101</v>
      </c>
      <c r="C48" s="1">
        <v>1.8</v>
      </c>
      <c r="D48" s="1">
        <f t="shared" si="0"/>
        <v>1</v>
      </c>
      <c r="E48" s="1" t="str">
        <f>VLOOKUP(D48,'Level Key'!$A$1:$B$7,2,FALSE)</f>
        <v>beginner</v>
      </c>
      <c r="F48" s="1" t="s">
        <v>133</v>
      </c>
      <c r="G48" s="2">
        <v>45866</v>
      </c>
      <c r="H48" s="1">
        <v>59</v>
      </c>
      <c r="I48" s="1">
        <f t="shared" si="1"/>
        <v>2</v>
      </c>
      <c r="J48" s="1">
        <f>LEN(Table1[[#This Row],[Final_Word]])</f>
        <v>7</v>
      </c>
    </row>
    <row r="49" spans="1:10" x14ac:dyDescent="0.2">
      <c r="A49" s="1" t="s">
        <v>37</v>
      </c>
      <c r="B49" s="1" t="s">
        <v>102</v>
      </c>
      <c r="C49" s="1">
        <v>2.5</v>
      </c>
      <c r="D49" s="1">
        <f t="shared" si="0"/>
        <v>2</v>
      </c>
      <c r="E49" s="1" t="str">
        <f>VLOOKUP(D49,'Level Key'!$A$1:$B$7,2,FALSE)</f>
        <v>novice</v>
      </c>
      <c r="F49" s="1" t="s">
        <v>133</v>
      </c>
      <c r="G49" s="2">
        <v>45867</v>
      </c>
      <c r="H49" s="1">
        <v>60</v>
      </c>
      <c r="I49" s="1">
        <f t="shared" si="1"/>
        <v>2</v>
      </c>
      <c r="J49" s="1">
        <f>LEN(Table1[[#This Row],[Final_Word]])</f>
        <v>9</v>
      </c>
    </row>
    <row r="50" spans="1:10" x14ac:dyDescent="0.2">
      <c r="A50" s="1" t="s">
        <v>103</v>
      </c>
      <c r="B50" s="1" t="s">
        <v>104</v>
      </c>
      <c r="C50" s="1">
        <v>1.23</v>
      </c>
      <c r="D50" s="1">
        <f t="shared" si="0"/>
        <v>1</v>
      </c>
      <c r="E50" s="1" t="str">
        <f>VLOOKUP(D50,'Level Key'!$A$1:$B$7,2,FALSE)</f>
        <v>beginner</v>
      </c>
      <c r="F50" s="1" t="s">
        <v>133</v>
      </c>
      <c r="G50" s="2">
        <v>45868</v>
      </c>
      <c r="H50" s="1">
        <v>61</v>
      </c>
      <c r="I50" s="1">
        <f t="shared" si="1"/>
        <v>2</v>
      </c>
      <c r="J50" s="1">
        <f>LEN(Table1[[#This Row],[Final_Word]])</f>
        <v>7</v>
      </c>
    </row>
    <row r="51" spans="1:10" x14ac:dyDescent="0.2">
      <c r="A51" s="1" t="s">
        <v>105</v>
      </c>
      <c r="B51" s="1" t="s">
        <v>106</v>
      </c>
      <c r="C51" s="1">
        <v>1.95</v>
      </c>
      <c r="D51" s="1">
        <f t="shared" si="0"/>
        <v>1</v>
      </c>
      <c r="E51" s="1" t="str">
        <f>VLOOKUP(D51,'Level Key'!$A$1:$B$7,2,FALSE)</f>
        <v>beginner</v>
      </c>
      <c r="F51" s="1" t="s">
        <v>133</v>
      </c>
      <c r="G51" s="2">
        <v>45869</v>
      </c>
      <c r="H51" s="1">
        <v>62</v>
      </c>
      <c r="I51" s="1">
        <f t="shared" si="1"/>
        <v>3</v>
      </c>
      <c r="J51" s="1">
        <f>LEN(Table1[[#This Row],[Final_Word]])</f>
        <v>7</v>
      </c>
    </row>
    <row r="52" spans="1:10" x14ac:dyDescent="0.2">
      <c r="A52" s="1" t="s">
        <v>57</v>
      </c>
      <c r="B52" s="1" t="s">
        <v>107</v>
      </c>
      <c r="C52" s="1">
        <v>2.0099999999999998</v>
      </c>
      <c r="D52" s="1">
        <f t="shared" si="0"/>
        <v>2</v>
      </c>
      <c r="E52" s="1" t="str">
        <f>VLOOKUP(D52,'Level Key'!$A$1:$B$7,2,FALSE)</f>
        <v>novice</v>
      </c>
      <c r="F52" s="1" t="s">
        <v>133</v>
      </c>
      <c r="G52" s="2">
        <v>45870</v>
      </c>
      <c r="H52" s="1">
        <v>63</v>
      </c>
      <c r="I52" s="1">
        <f t="shared" si="1"/>
        <v>2</v>
      </c>
      <c r="J52" s="1">
        <f>LEN(Table1[[#This Row],[Final_Word]])</f>
        <v>8</v>
      </c>
    </row>
    <row r="53" spans="1:10" x14ac:dyDescent="0.2">
      <c r="A53" s="1" t="s">
        <v>37</v>
      </c>
      <c r="B53" s="1" t="s">
        <v>109</v>
      </c>
      <c r="C53" s="1">
        <v>2.0009999999999999</v>
      </c>
      <c r="D53" s="1">
        <f t="shared" si="0"/>
        <v>2</v>
      </c>
      <c r="E53" s="1" t="str">
        <f>VLOOKUP(D53,'Level Key'!$A$1:$B$7,2,FALSE)</f>
        <v>novice</v>
      </c>
      <c r="F53" s="1" t="s">
        <v>133</v>
      </c>
      <c r="G53" s="2">
        <v>45871</v>
      </c>
      <c r="H53" s="1">
        <v>64</v>
      </c>
      <c r="I53" s="1">
        <f t="shared" si="1"/>
        <v>2</v>
      </c>
      <c r="J53" s="1">
        <f>LEN(Table1[[#This Row],[Final_Word]])</f>
        <v>7</v>
      </c>
    </row>
    <row r="54" spans="1:10" x14ac:dyDescent="0.2">
      <c r="A54" s="1" t="s">
        <v>99</v>
      </c>
      <c r="B54" s="1" t="s">
        <v>108</v>
      </c>
      <c r="C54" s="1">
        <v>2.29</v>
      </c>
      <c r="D54" s="1">
        <f t="shared" si="0"/>
        <v>2</v>
      </c>
      <c r="E54" s="1" t="str">
        <f>VLOOKUP(D54,'Level Key'!$A$1:$B$7,2,FALSE)</f>
        <v>novice</v>
      </c>
      <c r="F54" s="1" t="s">
        <v>133</v>
      </c>
      <c r="G54" s="2">
        <v>45872</v>
      </c>
      <c r="H54" s="1">
        <v>65</v>
      </c>
      <c r="I54" s="1">
        <f t="shared" si="1"/>
        <v>2</v>
      </c>
      <c r="J54" s="1">
        <f>LEN(Table1[[#This Row],[Final_Word]])</f>
        <v>7</v>
      </c>
    </row>
    <row r="55" spans="1:10" x14ac:dyDescent="0.2">
      <c r="A55" s="1" t="s">
        <v>39</v>
      </c>
      <c r="B55" s="1" t="s">
        <v>110</v>
      </c>
      <c r="C55" s="1">
        <v>2.4300000000000002</v>
      </c>
      <c r="D55" s="1">
        <f t="shared" si="0"/>
        <v>2</v>
      </c>
      <c r="E55" s="1" t="str">
        <f>VLOOKUP(D55,'Level Key'!$A$1:$B$7,2,FALSE)</f>
        <v>novice</v>
      </c>
      <c r="F55" s="1" t="s">
        <v>133</v>
      </c>
      <c r="G55" s="2">
        <v>45873</v>
      </c>
      <c r="H55" s="1">
        <v>66</v>
      </c>
      <c r="I55" s="1">
        <f t="shared" si="1"/>
        <v>2</v>
      </c>
      <c r="J55" s="1">
        <f>LEN(Table1[[#This Row],[Final_Word]])</f>
        <v>9</v>
      </c>
    </row>
    <row r="56" spans="1:10" x14ac:dyDescent="0.2">
      <c r="A56" s="1" t="s">
        <v>37</v>
      </c>
      <c r="B56" s="1" t="s">
        <v>116</v>
      </c>
      <c r="C56" s="1">
        <v>2.13</v>
      </c>
      <c r="D56" s="1">
        <f t="shared" si="0"/>
        <v>2</v>
      </c>
      <c r="E56" s="1" t="str">
        <f>VLOOKUP(D56,'Level Key'!$A$1:$B$7,2,FALSE)</f>
        <v>novice</v>
      </c>
      <c r="F56" s="1" t="s">
        <v>133</v>
      </c>
      <c r="G56" s="2">
        <v>45874</v>
      </c>
      <c r="H56" s="1">
        <v>67</v>
      </c>
      <c r="I56" s="1">
        <f t="shared" si="1"/>
        <v>2</v>
      </c>
      <c r="J56" s="1">
        <f>LEN(Table1[[#This Row],[Final_Word]])</f>
        <v>9</v>
      </c>
    </row>
    <row r="57" spans="1:10" x14ac:dyDescent="0.2">
      <c r="A57" s="1" t="s">
        <v>23</v>
      </c>
      <c r="B57" s="1" t="s">
        <v>117</v>
      </c>
      <c r="C57" s="1">
        <v>2.8</v>
      </c>
      <c r="D57" s="1">
        <f t="shared" si="0"/>
        <v>2</v>
      </c>
      <c r="E57" s="1" t="str">
        <f>VLOOKUP(D57,'Level Key'!$A$1:$B$7,2,FALSE)</f>
        <v>novice</v>
      </c>
      <c r="F57" s="1" t="s">
        <v>133</v>
      </c>
      <c r="G57" s="2">
        <v>45875</v>
      </c>
      <c r="H57" s="1">
        <v>68</v>
      </c>
      <c r="I57" s="1">
        <f t="shared" si="1"/>
        <v>2</v>
      </c>
      <c r="J57" s="1">
        <f>LEN(Table1[[#This Row],[Final_Word]])</f>
        <v>9</v>
      </c>
    </row>
    <row r="58" spans="1:10" x14ac:dyDescent="0.2">
      <c r="A58" s="1" t="s">
        <v>118</v>
      </c>
      <c r="B58" s="1" t="s">
        <v>119</v>
      </c>
      <c r="C58" s="1">
        <v>2.13</v>
      </c>
      <c r="D58" s="1">
        <f t="shared" si="0"/>
        <v>2</v>
      </c>
      <c r="E58" s="1" t="str">
        <f>VLOOKUP(D58,'Level Key'!$A$1:$B$7,2,FALSE)</f>
        <v>novice</v>
      </c>
      <c r="F58" s="1" t="s">
        <v>133</v>
      </c>
      <c r="G58" s="2">
        <v>45876</v>
      </c>
      <c r="H58" s="1">
        <v>69</v>
      </c>
      <c r="I58" s="1">
        <f t="shared" si="1"/>
        <v>2</v>
      </c>
      <c r="J58" s="1">
        <f>LEN(Table1[[#This Row],[Final_Word]])</f>
        <v>8</v>
      </c>
    </row>
    <row r="59" spans="1:10" x14ac:dyDescent="0.2">
      <c r="A59" s="1" t="s">
        <v>120</v>
      </c>
      <c r="B59" s="1" t="s">
        <v>121</v>
      </c>
      <c r="C59" s="1">
        <v>1.4</v>
      </c>
      <c r="D59" s="1">
        <f t="shared" si="0"/>
        <v>1</v>
      </c>
      <c r="E59" s="1" t="str">
        <f>VLOOKUP(D59,'Level Key'!$A$1:$B$7,2,FALSE)</f>
        <v>beginner</v>
      </c>
      <c r="F59" s="1" t="s">
        <v>133</v>
      </c>
      <c r="G59" s="2">
        <v>45877</v>
      </c>
      <c r="H59" s="1">
        <v>70</v>
      </c>
      <c r="I59" s="1">
        <f t="shared" si="1"/>
        <v>2</v>
      </c>
      <c r="J59" s="1">
        <f>LEN(Table1[[#This Row],[Final_Word]])</f>
        <v>6</v>
      </c>
    </row>
    <row r="60" spans="1:10" x14ac:dyDescent="0.2">
      <c r="A60" s="1" t="s">
        <v>120</v>
      </c>
      <c r="B60" s="1" t="s">
        <v>122</v>
      </c>
      <c r="C60" s="1">
        <v>2.7</v>
      </c>
      <c r="D60" s="1">
        <f t="shared" si="0"/>
        <v>2</v>
      </c>
      <c r="E60" s="1" t="str">
        <f>VLOOKUP(D60,'Level Key'!$A$1:$B$7,2,FALSE)</f>
        <v>novice</v>
      </c>
      <c r="F60" s="1" t="s">
        <v>133</v>
      </c>
      <c r="G60" s="2">
        <v>45878</v>
      </c>
      <c r="H60" s="1">
        <v>71</v>
      </c>
      <c r="I60" s="1">
        <f t="shared" si="1"/>
        <v>2</v>
      </c>
      <c r="J60" s="1">
        <f>LEN(Table1[[#This Row],[Final_Word]])</f>
        <v>8</v>
      </c>
    </row>
    <row r="61" spans="1:10" x14ac:dyDescent="0.2">
      <c r="A61" s="1" t="s">
        <v>69</v>
      </c>
      <c r="B61" s="1" t="s">
        <v>123</v>
      </c>
      <c r="C61" s="1">
        <v>2.2999999999999998</v>
      </c>
      <c r="D61" s="1">
        <f t="shared" si="0"/>
        <v>2</v>
      </c>
      <c r="E61" s="1" t="str">
        <f>VLOOKUP(D61,'Level Key'!$A$1:$B$7,2,FALSE)</f>
        <v>novice</v>
      </c>
      <c r="F61" s="1" t="s">
        <v>133</v>
      </c>
      <c r="G61" s="2">
        <v>45879</v>
      </c>
      <c r="H61" s="1">
        <v>72</v>
      </c>
      <c r="I61" s="1">
        <f t="shared" si="1"/>
        <v>2</v>
      </c>
      <c r="J61" s="1">
        <f>LEN(Table1[[#This Row],[Final_Word]])</f>
        <v>7</v>
      </c>
    </row>
    <row r="62" spans="1:10" x14ac:dyDescent="0.2">
      <c r="A62" s="1" t="s">
        <v>124</v>
      </c>
      <c r="B62" s="1" t="s">
        <v>45</v>
      </c>
      <c r="C62" s="1">
        <v>2.2000000000000002</v>
      </c>
      <c r="D62" s="1">
        <f t="shared" si="0"/>
        <v>2</v>
      </c>
      <c r="E62" s="1" t="str">
        <f>VLOOKUP(D62,'Level Key'!$A$1:$B$7,2,FALSE)</f>
        <v>novice</v>
      </c>
      <c r="F62" s="1" t="s">
        <v>133</v>
      </c>
      <c r="G62" s="2">
        <v>45880</v>
      </c>
      <c r="H62" s="1">
        <v>73</v>
      </c>
      <c r="I62" s="1">
        <f t="shared" si="1"/>
        <v>3</v>
      </c>
      <c r="J62" s="1">
        <f>LEN(Table1[[#This Row],[Final_Word]])</f>
        <v>8</v>
      </c>
    </row>
    <row r="63" spans="1:10" x14ac:dyDescent="0.2">
      <c r="A63" s="1" t="s">
        <v>125</v>
      </c>
      <c r="B63" s="1" t="s">
        <v>126</v>
      </c>
      <c r="C63" s="1">
        <v>3.1</v>
      </c>
      <c r="D63" s="1">
        <f t="shared" si="0"/>
        <v>3</v>
      </c>
      <c r="E63" s="1" t="str">
        <f>VLOOKUP(D63,'Level Key'!$A$1:$B$7,2,FALSE)</f>
        <v>expert</v>
      </c>
      <c r="F63" s="1" t="s">
        <v>133</v>
      </c>
      <c r="G63" s="2">
        <v>45881</v>
      </c>
      <c r="H63" s="1">
        <v>74</v>
      </c>
      <c r="I63" s="1">
        <f t="shared" si="1"/>
        <v>3</v>
      </c>
      <c r="J63" s="1">
        <f>LEN(Table1[[#This Row],[Final_Word]])</f>
        <v>10</v>
      </c>
    </row>
    <row r="64" spans="1:10" x14ac:dyDescent="0.2">
      <c r="A64" s="1" t="s">
        <v>99</v>
      </c>
      <c r="B64" s="1" t="s">
        <v>127</v>
      </c>
      <c r="C64" s="1">
        <v>1.56</v>
      </c>
      <c r="D64" s="1">
        <f t="shared" si="0"/>
        <v>1</v>
      </c>
      <c r="E64" s="1" t="str">
        <f>VLOOKUP(D64,'Level Key'!$A$1:$B$7,2,FALSE)</f>
        <v>beginner</v>
      </c>
      <c r="F64" s="1" t="s">
        <v>133</v>
      </c>
      <c r="G64" s="2">
        <v>45882</v>
      </c>
      <c r="H64" s="1">
        <v>75</v>
      </c>
      <c r="I64" s="1">
        <f t="shared" si="1"/>
        <v>2</v>
      </c>
      <c r="J64" s="1">
        <f>LEN(Table1[[#This Row],[Final_Word]])</f>
        <v>7</v>
      </c>
    </row>
    <row r="65" spans="1:10" x14ac:dyDescent="0.2">
      <c r="A65" s="1" t="s">
        <v>57</v>
      </c>
      <c r="B65" s="1" t="s">
        <v>128</v>
      </c>
      <c r="C65" s="1">
        <v>3.9</v>
      </c>
      <c r="D65" s="1">
        <f t="shared" si="0"/>
        <v>3</v>
      </c>
      <c r="E65" s="1" t="str">
        <f>VLOOKUP(D65,'Level Key'!$A$1:$B$7,2,FALSE)</f>
        <v>expert</v>
      </c>
      <c r="F65" s="1" t="s">
        <v>133</v>
      </c>
      <c r="G65" s="2">
        <v>45883</v>
      </c>
      <c r="H65" s="1">
        <v>76</v>
      </c>
      <c r="I65" s="1">
        <f t="shared" si="1"/>
        <v>2</v>
      </c>
      <c r="J65" s="1">
        <f>LEN(Table1[[#This Row],[Final_Word]])</f>
        <v>9</v>
      </c>
    </row>
    <row r="66" spans="1:10" x14ac:dyDescent="0.2">
      <c r="A66" s="1" t="s">
        <v>129</v>
      </c>
      <c r="B66" s="1" t="s">
        <v>130</v>
      </c>
      <c r="C66" s="1">
        <v>2.9</v>
      </c>
      <c r="D66" s="1">
        <f t="shared" ref="D66:D129" si="2">ROUNDDOWN(C66,0)</f>
        <v>2</v>
      </c>
      <c r="E66" s="1" t="str">
        <f>VLOOKUP(D66,'Level Key'!$A$1:$B$7,2,FALSE)</f>
        <v>novice</v>
      </c>
      <c r="F66" s="1" t="s">
        <v>133</v>
      </c>
      <c r="G66" s="2">
        <v>45884</v>
      </c>
      <c r="H66" s="1">
        <v>77</v>
      </c>
      <c r="I66" s="1">
        <f t="shared" ref="I66:I129" si="3">LEN(A66)</f>
        <v>3</v>
      </c>
      <c r="J66" s="1">
        <f>LEN(Table1[[#This Row],[Final_Word]])</f>
        <v>9</v>
      </c>
    </row>
    <row r="67" spans="1:10" x14ac:dyDescent="0.2">
      <c r="A67" s="1" t="s">
        <v>136</v>
      </c>
      <c r="B67" s="1" t="s">
        <v>137</v>
      </c>
      <c r="C67" s="1">
        <v>1.4</v>
      </c>
      <c r="D67" s="1">
        <f t="shared" si="2"/>
        <v>1</v>
      </c>
      <c r="E67" s="1" t="str">
        <f>VLOOKUP(D67,'Level Key'!$A$1:$B$7,2,FALSE)</f>
        <v>beginner</v>
      </c>
      <c r="F67" s="1" t="s">
        <v>133</v>
      </c>
      <c r="G67" s="2">
        <v>45885</v>
      </c>
      <c r="H67" s="1">
        <v>78</v>
      </c>
      <c r="I67" s="1">
        <f t="shared" si="3"/>
        <v>3</v>
      </c>
      <c r="J67" s="1">
        <f>LEN(Table1[[#This Row],[Final_Word]])</f>
        <v>7</v>
      </c>
    </row>
    <row r="68" spans="1:10" x14ac:dyDescent="0.2">
      <c r="A68" s="1" t="s">
        <v>138</v>
      </c>
      <c r="B68" s="1" t="s">
        <v>139</v>
      </c>
      <c r="C68" s="1">
        <v>2.1</v>
      </c>
      <c r="D68" s="1">
        <f t="shared" si="2"/>
        <v>2</v>
      </c>
      <c r="E68" s="1" t="str">
        <f>VLOOKUP(D68,'Level Key'!$A$1:$B$7,2,FALSE)</f>
        <v>novice</v>
      </c>
      <c r="F68" s="1" t="s">
        <v>133</v>
      </c>
      <c r="G68" s="2">
        <v>45886</v>
      </c>
      <c r="H68" s="1">
        <v>79</v>
      </c>
      <c r="I68" s="1">
        <f t="shared" si="3"/>
        <v>3</v>
      </c>
      <c r="J68" s="1">
        <f>LEN(Table1[[#This Row],[Final_Word]])</f>
        <v>8</v>
      </c>
    </row>
    <row r="69" spans="1:10" x14ac:dyDescent="0.2">
      <c r="A69" s="1" t="s">
        <v>140</v>
      </c>
      <c r="B69" s="1" t="s">
        <v>141</v>
      </c>
      <c r="C69" s="1">
        <v>1.6</v>
      </c>
      <c r="D69" s="1">
        <f t="shared" si="2"/>
        <v>1</v>
      </c>
      <c r="E69" s="1" t="str">
        <f>VLOOKUP(D69,'Level Key'!$A$1:$B$7,2,FALSE)</f>
        <v>beginner</v>
      </c>
      <c r="F69" s="1" t="s">
        <v>133</v>
      </c>
      <c r="G69" s="2">
        <v>45887</v>
      </c>
      <c r="H69" s="1">
        <v>80</v>
      </c>
      <c r="I69" s="1">
        <f t="shared" si="3"/>
        <v>3</v>
      </c>
      <c r="J69" s="1">
        <f>LEN(Table1[[#This Row],[Final_Word]])</f>
        <v>8</v>
      </c>
    </row>
    <row r="70" spans="1:10" x14ac:dyDescent="0.2">
      <c r="A70" s="1" t="s">
        <v>23</v>
      </c>
      <c r="B70" s="1" t="s">
        <v>142</v>
      </c>
      <c r="C70" s="1">
        <v>2.0499999999999998</v>
      </c>
      <c r="D70" s="1">
        <f t="shared" si="2"/>
        <v>2</v>
      </c>
      <c r="E70" s="1" t="str">
        <f>VLOOKUP(D70,'Level Key'!$A$1:$B$7,2,FALSE)</f>
        <v>novice</v>
      </c>
      <c r="F70" s="1" t="s">
        <v>133</v>
      </c>
      <c r="G70" s="2">
        <v>45888</v>
      </c>
      <c r="H70" s="1">
        <v>81</v>
      </c>
      <c r="I70" s="1">
        <f t="shared" si="3"/>
        <v>2</v>
      </c>
      <c r="J70" s="1">
        <f>LEN(Table1[[#This Row],[Final_Word]])</f>
        <v>7</v>
      </c>
    </row>
    <row r="71" spans="1:10" x14ac:dyDescent="0.2">
      <c r="A71" s="1" t="s">
        <v>324</v>
      </c>
      <c r="B71" s="1" t="s">
        <v>325</v>
      </c>
      <c r="C71" s="1">
        <v>2.81</v>
      </c>
      <c r="D71" s="1">
        <f t="shared" si="2"/>
        <v>2</v>
      </c>
      <c r="E71" s="1" t="str">
        <f>VLOOKUP(D71,'Level Key'!$A$1:$B$7,2,FALSE)</f>
        <v>novice</v>
      </c>
      <c r="F71" s="1" t="s">
        <v>328</v>
      </c>
      <c r="G71" s="2">
        <v>45889</v>
      </c>
      <c r="H71" s="1">
        <v>188</v>
      </c>
      <c r="I71" s="1">
        <f t="shared" si="3"/>
        <v>4</v>
      </c>
      <c r="J71" s="1">
        <f>LEN(Table1[[#This Row],[Final_Word]])</f>
        <v>8</v>
      </c>
    </row>
    <row r="72" spans="1:10" x14ac:dyDescent="0.2">
      <c r="A72" s="1" t="s">
        <v>143</v>
      </c>
      <c r="B72" s="1" t="s">
        <v>144</v>
      </c>
      <c r="C72" s="1">
        <v>2.7</v>
      </c>
      <c r="D72" s="1">
        <f t="shared" si="2"/>
        <v>2</v>
      </c>
      <c r="E72" s="1" t="str">
        <f>VLOOKUP(D72,'Level Key'!$A$1:$B$7,2,FALSE)</f>
        <v>novice</v>
      </c>
      <c r="F72" s="1" t="s">
        <v>133</v>
      </c>
      <c r="G72" s="2">
        <v>45890</v>
      </c>
      <c r="H72" s="1">
        <v>83</v>
      </c>
      <c r="I72" s="1">
        <f t="shared" si="3"/>
        <v>2</v>
      </c>
      <c r="J72" s="1">
        <f>LEN(Table1[[#This Row],[Final_Word]])</f>
        <v>9</v>
      </c>
    </row>
    <row r="73" spans="1:10" x14ac:dyDescent="0.2">
      <c r="A73" s="1" t="s">
        <v>145</v>
      </c>
      <c r="B73" s="1" t="s">
        <v>146</v>
      </c>
      <c r="C73" s="1">
        <v>1.3</v>
      </c>
      <c r="D73" s="1">
        <f t="shared" si="2"/>
        <v>1</v>
      </c>
      <c r="E73" s="1" t="str">
        <f>VLOOKUP(D73,'Level Key'!$A$1:$B$7,2,FALSE)</f>
        <v>beginner</v>
      </c>
      <c r="F73" s="1" t="s">
        <v>133</v>
      </c>
      <c r="G73" s="2">
        <v>45891</v>
      </c>
      <c r="H73" s="1">
        <v>84</v>
      </c>
      <c r="I73" s="1">
        <f t="shared" si="3"/>
        <v>3</v>
      </c>
      <c r="J73" s="1">
        <f>LEN(Table1[[#This Row],[Final_Word]])</f>
        <v>7</v>
      </c>
    </row>
    <row r="74" spans="1:10" x14ac:dyDescent="0.2">
      <c r="A74" s="1" t="s">
        <v>46</v>
      </c>
      <c r="B74" s="1" t="s">
        <v>147</v>
      </c>
      <c r="C74" s="1">
        <v>2.1</v>
      </c>
      <c r="D74" s="1">
        <f t="shared" si="2"/>
        <v>2</v>
      </c>
      <c r="E74" s="1" t="str">
        <f>VLOOKUP(D74,'Level Key'!$A$1:$B$7,2,FALSE)</f>
        <v>novice</v>
      </c>
      <c r="F74" s="1" t="s">
        <v>133</v>
      </c>
      <c r="G74" s="2">
        <v>45892</v>
      </c>
      <c r="H74" s="1">
        <v>85</v>
      </c>
      <c r="I74" s="1">
        <f t="shared" si="3"/>
        <v>2</v>
      </c>
      <c r="J74" s="1">
        <f>LEN(Table1[[#This Row],[Final_Word]])</f>
        <v>6</v>
      </c>
    </row>
    <row r="75" spans="1:10" x14ac:dyDescent="0.2">
      <c r="A75" s="1" t="s">
        <v>148</v>
      </c>
      <c r="B75" s="1" t="s">
        <v>149</v>
      </c>
      <c r="C75" s="1">
        <v>2.2000000000000002</v>
      </c>
      <c r="D75" s="1">
        <f t="shared" si="2"/>
        <v>2</v>
      </c>
      <c r="E75" s="1" t="str">
        <f>VLOOKUP(D75,'Level Key'!$A$1:$B$7,2,FALSE)</f>
        <v>novice</v>
      </c>
      <c r="F75" s="1" t="s">
        <v>133</v>
      </c>
      <c r="G75" s="2">
        <v>45893</v>
      </c>
      <c r="H75" s="1">
        <v>86</v>
      </c>
      <c r="I75" s="1">
        <f t="shared" si="3"/>
        <v>2</v>
      </c>
      <c r="J75" s="1">
        <f>LEN(Table1[[#This Row],[Final_Word]])</f>
        <v>7</v>
      </c>
    </row>
    <row r="76" spans="1:10" x14ac:dyDescent="0.2">
      <c r="A76" s="1" t="s">
        <v>150</v>
      </c>
      <c r="B76" s="1" t="s">
        <v>151</v>
      </c>
      <c r="C76" s="1">
        <v>2.9</v>
      </c>
      <c r="D76" s="1">
        <f t="shared" si="2"/>
        <v>2</v>
      </c>
      <c r="E76" s="1" t="str">
        <f>VLOOKUP(D76,'Level Key'!$A$1:$B$7,2,FALSE)</f>
        <v>novice</v>
      </c>
      <c r="F76" s="1" t="s">
        <v>133</v>
      </c>
      <c r="G76" s="2">
        <v>45894</v>
      </c>
      <c r="H76" s="1">
        <v>87</v>
      </c>
      <c r="I76" s="1">
        <f t="shared" si="3"/>
        <v>3</v>
      </c>
      <c r="J76" s="1">
        <f>LEN(Table1[[#This Row],[Final_Word]])</f>
        <v>10</v>
      </c>
    </row>
    <row r="77" spans="1:10" x14ac:dyDescent="0.2">
      <c r="A77" s="1" t="s">
        <v>152</v>
      </c>
      <c r="B77" s="1" t="s">
        <v>153</v>
      </c>
      <c r="C77" s="1">
        <v>2.6</v>
      </c>
      <c r="D77" s="1">
        <f t="shared" si="2"/>
        <v>2</v>
      </c>
      <c r="E77" s="1" t="str">
        <f>VLOOKUP(D77,'Level Key'!$A$1:$B$7,2,FALSE)</f>
        <v>novice</v>
      </c>
      <c r="F77" s="1" t="s">
        <v>133</v>
      </c>
      <c r="G77" s="2">
        <v>45895</v>
      </c>
      <c r="H77" s="1">
        <v>88</v>
      </c>
      <c r="I77" s="1">
        <f t="shared" si="3"/>
        <v>3</v>
      </c>
      <c r="J77" s="1">
        <f>LEN(Table1[[#This Row],[Final_Word]])</f>
        <v>8</v>
      </c>
    </row>
    <row r="78" spans="1:10" x14ac:dyDescent="0.2">
      <c r="A78" s="1" t="s">
        <v>154</v>
      </c>
      <c r="B78" s="1" t="s">
        <v>155</v>
      </c>
      <c r="C78" s="1">
        <v>1.7</v>
      </c>
      <c r="D78" s="1">
        <f t="shared" si="2"/>
        <v>1</v>
      </c>
      <c r="E78" s="1" t="str">
        <f>VLOOKUP(D78,'Level Key'!$A$1:$B$7,2,FALSE)</f>
        <v>beginner</v>
      </c>
      <c r="F78" s="1" t="s">
        <v>133</v>
      </c>
      <c r="G78" s="2">
        <v>45896</v>
      </c>
      <c r="H78" s="1">
        <v>89</v>
      </c>
      <c r="I78" s="1">
        <f t="shared" si="3"/>
        <v>3</v>
      </c>
      <c r="J78" s="1">
        <f>LEN(Table1[[#This Row],[Final_Word]])</f>
        <v>7</v>
      </c>
    </row>
    <row r="79" spans="1:10" x14ac:dyDescent="0.2">
      <c r="A79" s="1" t="s">
        <v>51</v>
      </c>
      <c r="B79" s="1" t="s">
        <v>156</v>
      </c>
      <c r="C79" s="1">
        <v>1.3</v>
      </c>
      <c r="D79" s="1">
        <f t="shared" si="2"/>
        <v>1</v>
      </c>
      <c r="E79" s="1" t="str">
        <f>VLOOKUP(D79,'Level Key'!$A$1:$B$7,2,FALSE)</f>
        <v>beginner</v>
      </c>
      <c r="F79" s="1" t="s">
        <v>133</v>
      </c>
      <c r="G79" s="2">
        <v>45897</v>
      </c>
      <c r="H79" s="1">
        <v>90</v>
      </c>
      <c r="I79" s="1">
        <f t="shared" si="3"/>
        <v>2</v>
      </c>
      <c r="J79" s="1">
        <f>LEN(Table1[[#This Row],[Final_Word]])</f>
        <v>6</v>
      </c>
    </row>
    <row r="80" spans="1:10" x14ac:dyDescent="0.2">
      <c r="A80" s="1" t="s">
        <v>157</v>
      </c>
      <c r="B80" s="1" t="s">
        <v>158</v>
      </c>
      <c r="C80" s="1">
        <v>1.7</v>
      </c>
      <c r="D80" s="1">
        <f t="shared" si="2"/>
        <v>1</v>
      </c>
      <c r="E80" s="1" t="str">
        <f>VLOOKUP(D80,'Level Key'!$A$1:$B$7,2,FALSE)</f>
        <v>beginner</v>
      </c>
      <c r="F80" s="1" t="s">
        <v>133</v>
      </c>
      <c r="G80" s="2">
        <v>45898</v>
      </c>
      <c r="H80" s="1">
        <v>91</v>
      </c>
      <c r="I80" s="1">
        <f t="shared" si="3"/>
        <v>3</v>
      </c>
      <c r="J80" s="1">
        <f>LEN(Table1[[#This Row],[Final_Word]])</f>
        <v>8</v>
      </c>
    </row>
    <row r="81" spans="1:10" x14ac:dyDescent="0.2">
      <c r="A81" s="1" t="s">
        <v>159</v>
      </c>
      <c r="B81" s="1" t="s">
        <v>160</v>
      </c>
      <c r="C81" s="1">
        <v>2.5</v>
      </c>
      <c r="D81" s="1">
        <f t="shared" si="2"/>
        <v>2</v>
      </c>
      <c r="E81" s="1" t="str">
        <f>VLOOKUP(D81,'Level Key'!$A$1:$B$7,2,FALSE)</f>
        <v>novice</v>
      </c>
      <c r="F81" s="1" t="s">
        <v>133</v>
      </c>
      <c r="G81" s="2">
        <v>45899</v>
      </c>
      <c r="H81" s="1">
        <v>92</v>
      </c>
      <c r="I81" s="1">
        <f t="shared" si="3"/>
        <v>4</v>
      </c>
      <c r="J81" s="1">
        <f>LEN(Table1[[#This Row],[Final_Word]])</f>
        <v>8</v>
      </c>
    </row>
    <row r="82" spans="1:10" x14ac:dyDescent="0.2">
      <c r="A82" s="1" t="s">
        <v>161</v>
      </c>
      <c r="B82" s="1" t="s">
        <v>162</v>
      </c>
      <c r="C82" s="1">
        <v>2.6</v>
      </c>
      <c r="D82" s="1">
        <f t="shared" si="2"/>
        <v>2</v>
      </c>
      <c r="E82" s="1" t="str">
        <f>VLOOKUP(D82,'Level Key'!$A$1:$B$7,2,FALSE)</f>
        <v>novice</v>
      </c>
      <c r="F82" s="1" t="s">
        <v>133</v>
      </c>
      <c r="G82" s="2">
        <v>45900</v>
      </c>
      <c r="H82" s="1">
        <v>93</v>
      </c>
      <c r="I82" s="1">
        <f t="shared" si="3"/>
        <v>4</v>
      </c>
      <c r="J82" s="1">
        <f>LEN(Table1[[#This Row],[Final_Word]])</f>
        <v>8</v>
      </c>
    </row>
    <row r="83" spans="1:10" x14ac:dyDescent="0.2">
      <c r="A83" s="1" t="s">
        <v>79</v>
      </c>
      <c r="B83" s="1" t="s">
        <v>163</v>
      </c>
      <c r="C83" s="1">
        <v>1.3</v>
      </c>
      <c r="D83" s="1">
        <f t="shared" si="2"/>
        <v>1</v>
      </c>
      <c r="E83" s="1" t="str">
        <f>VLOOKUP(D83,'Level Key'!$A$1:$B$7,2,FALSE)</f>
        <v>beginner</v>
      </c>
      <c r="F83" s="1" t="s">
        <v>133</v>
      </c>
      <c r="G83" s="2">
        <v>45901</v>
      </c>
      <c r="H83" s="1">
        <v>94</v>
      </c>
      <c r="I83" s="1">
        <f t="shared" si="3"/>
        <v>2</v>
      </c>
      <c r="J83" s="1">
        <f>LEN(Table1[[#This Row],[Final_Word]])</f>
        <v>7</v>
      </c>
    </row>
    <row r="84" spans="1:10" x14ac:dyDescent="0.2">
      <c r="A84" s="1" t="s">
        <v>131</v>
      </c>
      <c r="B84" s="1" t="s">
        <v>164</v>
      </c>
      <c r="C84" s="1">
        <v>1.7</v>
      </c>
      <c r="D84" s="1">
        <f t="shared" si="2"/>
        <v>1</v>
      </c>
      <c r="E84" s="1" t="str">
        <f>VLOOKUP(D84,'Level Key'!$A$1:$B$7,2,FALSE)</f>
        <v>beginner</v>
      </c>
      <c r="F84" s="1" t="s">
        <v>133</v>
      </c>
      <c r="G84" s="2">
        <v>45902</v>
      </c>
      <c r="H84" s="1">
        <v>95</v>
      </c>
      <c r="I84" s="1">
        <f t="shared" si="3"/>
        <v>2</v>
      </c>
      <c r="J84" s="1">
        <f>LEN(Table1[[#This Row],[Final_Word]])</f>
        <v>7</v>
      </c>
    </row>
    <row r="85" spans="1:10" x14ac:dyDescent="0.2">
      <c r="A85" s="1" t="s">
        <v>44</v>
      </c>
      <c r="B85" s="1" t="s">
        <v>165</v>
      </c>
      <c r="C85" s="1">
        <v>1.6</v>
      </c>
      <c r="D85" s="1">
        <f t="shared" si="2"/>
        <v>1</v>
      </c>
      <c r="E85" s="1" t="str">
        <f>VLOOKUP(D85,'Level Key'!$A$1:$B$7,2,FALSE)</f>
        <v>beginner</v>
      </c>
      <c r="F85" s="1" t="s">
        <v>133</v>
      </c>
      <c r="G85" s="2">
        <v>45903</v>
      </c>
      <c r="H85" s="1">
        <v>96</v>
      </c>
      <c r="I85" s="1">
        <f t="shared" si="3"/>
        <v>2</v>
      </c>
      <c r="J85" s="1">
        <f>LEN(Table1[[#This Row],[Final_Word]])</f>
        <v>8</v>
      </c>
    </row>
    <row r="86" spans="1:10" x14ac:dyDescent="0.2">
      <c r="A86" s="1" t="s">
        <v>39</v>
      </c>
      <c r="B86" s="1" t="s">
        <v>166</v>
      </c>
      <c r="C86" s="1">
        <v>1.61</v>
      </c>
      <c r="D86" s="1">
        <f t="shared" si="2"/>
        <v>1</v>
      </c>
      <c r="E86" s="1" t="str">
        <f>VLOOKUP(D86,'Level Key'!$A$1:$B$7,2,FALSE)</f>
        <v>beginner</v>
      </c>
      <c r="F86" s="1" t="s">
        <v>133</v>
      </c>
      <c r="G86" s="2">
        <v>45904</v>
      </c>
      <c r="H86" s="1">
        <v>97</v>
      </c>
      <c r="I86" s="1">
        <f t="shared" si="3"/>
        <v>2</v>
      </c>
      <c r="J86" s="1">
        <f>LEN(Table1[[#This Row],[Final_Word]])</f>
        <v>8</v>
      </c>
    </row>
    <row r="87" spans="1:10" x14ac:dyDescent="0.2">
      <c r="A87" s="1" t="s">
        <v>42</v>
      </c>
      <c r="B87" s="1" t="s">
        <v>167</v>
      </c>
      <c r="C87" s="1">
        <v>1.8</v>
      </c>
      <c r="D87" s="1">
        <f t="shared" si="2"/>
        <v>1</v>
      </c>
      <c r="E87" s="1" t="str">
        <f>VLOOKUP(D87,'Level Key'!$A$1:$B$7,2,FALSE)</f>
        <v>beginner</v>
      </c>
      <c r="F87" s="1" t="s">
        <v>133</v>
      </c>
      <c r="G87" s="2">
        <v>45905</v>
      </c>
      <c r="H87" s="1">
        <v>98</v>
      </c>
      <c r="I87" s="1">
        <f t="shared" si="3"/>
        <v>2</v>
      </c>
      <c r="J87" s="1">
        <f>LEN(Table1[[#This Row],[Final_Word]])</f>
        <v>8</v>
      </c>
    </row>
    <row r="88" spans="1:10" x14ac:dyDescent="0.2">
      <c r="A88" s="1" t="s">
        <v>168</v>
      </c>
      <c r="B88" s="1" t="s">
        <v>169</v>
      </c>
      <c r="C88" s="1">
        <v>1.4</v>
      </c>
      <c r="D88" s="1">
        <f t="shared" si="2"/>
        <v>1</v>
      </c>
      <c r="E88" s="1" t="str">
        <f>VLOOKUP(D88,'Level Key'!$A$1:$B$7,2,FALSE)</f>
        <v>beginner</v>
      </c>
      <c r="F88" s="1" t="s">
        <v>133</v>
      </c>
      <c r="G88" s="2">
        <v>45906</v>
      </c>
      <c r="H88" s="1">
        <v>99</v>
      </c>
      <c r="I88" s="1">
        <f t="shared" si="3"/>
        <v>3</v>
      </c>
      <c r="J88" s="1">
        <f>LEN(Table1[[#This Row],[Final_Word]])</f>
        <v>8</v>
      </c>
    </row>
    <row r="89" spans="1:10" x14ac:dyDescent="0.2">
      <c r="A89" s="1" t="s">
        <v>170</v>
      </c>
      <c r="B89" s="1" t="s">
        <v>171</v>
      </c>
      <c r="C89" s="1">
        <v>1.41</v>
      </c>
      <c r="D89" s="1">
        <f t="shared" si="2"/>
        <v>1</v>
      </c>
      <c r="E89" s="1" t="str">
        <f>VLOOKUP(D89,'Level Key'!$A$1:$B$7,2,FALSE)</f>
        <v>beginner</v>
      </c>
      <c r="F89" s="1" t="s">
        <v>133</v>
      </c>
      <c r="G89" s="2">
        <v>45907</v>
      </c>
      <c r="H89" s="1">
        <v>100</v>
      </c>
      <c r="I89" s="1">
        <f t="shared" si="3"/>
        <v>2</v>
      </c>
      <c r="J89" s="1">
        <f>LEN(Table1[[#This Row],[Final_Word]])</f>
        <v>8</v>
      </c>
    </row>
    <row r="90" spans="1:10" x14ac:dyDescent="0.2">
      <c r="A90" s="1" t="s">
        <v>172</v>
      </c>
      <c r="B90" s="1" t="s">
        <v>173</v>
      </c>
      <c r="C90" s="1">
        <v>1.62</v>
      </c>
      <c r="D90" s="1">
        <f t="shared" si="2"/>
        <v>1</v>
      </c>
      <c r="E90" s="1" t="str">
        <f>VLOOKUP(D90,'Level Key'!$A$1:$B$7,2,FALSE)</f>
        <v>beginner</v>
      </c>
      <c r="F90" s="1" t="s">
        <v>133</v>
      </c>
      <c r="G90" s="2">
        <v>45908</v>
      </c>
      <c r="H90" s="1">
        <v>101</v>
      </c>
      <c r="I90" s="1">
        <f t="shared" si="3"/>
        <v>2</v>
      </c>
      <c r="J90" s="1">
        <f>LEN(Table1[[#This Row],[Final_Word]])</f>
        <v>7</v>
      </c>
    </row>
    <row r="91" spans="1:10" x14ac:dyDescent="0.2">
      <c r="A91" s="1" t="s">
        <v>175</v>
      </c>
      <c r="B91" s="1" t="s">
        <v>176</v>
      </c>
      <c r="C91" s="1">
        <v>1.6</v>
      </c>
      <c r="D91" s="1">
        <f t="shared" si="2"/>
        <v>1</v>
      </c>
      <c r="E91" s="1" t="str">
        <f>VLOOKUP(D91,'Level Key'!$A$1:$B$7,2,FALSE)</f>
        <v>beginner</v>
      </c>
      <c r="F91" s="1" t="s">
        <v>133</v>
      </c>
      <c r="G91" s="2">
        <v>45909</v>
      </c>
      <c r="H91" s="1">
        <v>103</v>
      </c>
      <c r="I91" s="1">
        <f t="shared" si="3"/>
        <v>3</v>
      </c>
      <c r="J91" s="1">
        <f>LEN(Table1[[#This Row],[Final_Word]])</f>
        <v>9</v>
      </c>
    </row>
    <row r="92" spans="1:10" x14ac:dyDescent="0.2">
      <c r="A92" s="1" t="s">
        <v>177</v>
      </c>
      <c r="B92" s="1" t="s">
        <v>178</v>
      </c>
      <c r="C92" s="1">
        <v>1.1000000000000001</v>
      </c>
      <c r="D92" s="1">
        <f t="shared" si="2"/>
        <v>1</v>
      </c>
      <c r="E92" s="1" t="str">
        <f>VLOOKUP(D92,'Level Key'!$A$1:$B$7,2,FALSE)</f>
        <v>beginner</v>
      </c>
      <c r="F92" s="1" t="s">
        <v>133</v>
      </c>
      <c r="G92" s="2">
        <v>45910</v>
      </c>
      <c r="H92" s="1">
        <v>104</v>
      </c>
      <c r="I92" s="1">
        <f t="shared" si="3"/>
        <v>3</v>
      </c>
      <c r="J92" s="1">
        <f>LEN(Table1[[#This Row],[Final_Word]])</f>
        <v>7</v>
      </c>
    </row>
    <row r="93" spans="1:10" x14ac:dyDescent="0.2">
      <c r="A93" s="1" t="s">
        <v>179</v>
      </c>
      <c r="B93" s="1" t="s">
        <v>180</v>
      </c>
      <c r="C93" s="1">
        <v>2.5</v>
      </c>
      <c r="D93" s="1">
        <f t="shared" si="2"/>
        <v>2</v>
      </c>
      <c r="E93" s="1" t="str">
        <f>VLOOKUP(D93,'Level Key'!$A$1:$B$7,2,FALSE)</f>
        <v>novice</v>
      </c>
      <c r="F93" s="1" t="s">
        <v>133</v>
      </c>
      <c r="G93" s="2">
        <v>45911</v>
      </c>
      <c r="H93" s="1">
        <v>105</v>
      </c>
      <c r="I93" s="1">
        <f t="shared" si="3"/>
        <v>4</v>
      </c>
      <c r="J93" s="1">
        <f>LEN(Table1[[#This Row],[Final_Word]])</f>
        <v>8</v>
      </c>
    </row>
    <row r="94" spans="1:10" x14ac:dyDescent="0.2">
      <c r="A94" s="1" t="s">
        <v>181</v>
      </c>
      <c r="B94" s="1" t="s">
        <v>182</v>
      </c>
      <c r="C94" s="1">
        <v>2.3220000000000001</v>
      </c>
      <c r="D94" s="1">
        <f t="shared" si="2"/>
        <v>2</v>
      </c>
      <c r="E94" s="1" t="str">
        <f>VLOOKUP(D94,'Level Key'!$A$1:$B$7,2,FALSE)</f>
        <v>novice</v>
      </c>
      <c r="F94" s="1" t="s">
        <v>133</v>
      </c>
      <c r="G94" s="2">
        <v>45912</v>
      </c>
      <c r="H94" s="1">
        <v>106</v>
      </c>
      <c r="I94" s="1">
        <f t="shared" si="3"/>
        <v>2</v>
      </c>
      <c r="J94" s="1">
        <f>LEN(Table1[[#This Row],[Final_Word]])</f>
        <v>7</v>
      </c>
    </row>
    <row r="95" spans="1:10" x14ac:dyDescent="0.2">
      <c r="A95" s="1" t="s">
        <v>183</v>
      </c>
      <c r="B95" s="1" t="s">
        <v>184</v>
      </c>
      <c r="C95" s="1">
        <v>1.3</v>
      </c>
      <c r="D95" s="1">
        <f t="shared" si="2"/>
        <v>1</v>
      </c>
      <c r="E95" s="1" t="str">
        <f>VLOOKUP(D95,'Level Key'!$A$1:$B$7,2,FALSE)</f>
        <v>beginner</v>
      </c>
      <c r="F95" s="1" t="s">
        <v>133</v>
      </c>
      <c r="G95" s="2">
        <v>45913</v>
      </c>
      <c r="H95" s="1">
        <v>107</v>
      </c>
      <c r="I95" s="1">
        <f t="shared" si="3"/>
        <v>2</v>
      </c>
      <c r="J95" s="1">
        <f>LEN(Table1[[#This Row],[Final_Word]])</f>
        <v>6</v>
      </c>
    </row>
    <row r="96" spans="1:10" x14ac:dyDescent="0.2">
      <c r="A96" s="1" t="s">
        <v>46</v>
      </c>
      <c r="B96" s="1" t="s">
        <v>185</v>
      </c>
      <c r="C96" s="1">
        <v>2.4</v>
      </c>
      <c r="D96" s="1">
        <f t="shared" si="2"/>
        <v>2</v>
      </c>
      <c r="E96" s="1" t="str">
        <f>VLOOKUP(D96,'Level Key'!$A$1:$B$7,2,FALSE)</f>
        <v>novice</v>
      </c>
      <c r="F96" s="1" t="s">
        <v>133</v>
      </c>
      <c r="G96" s="2">
        <v>45914</v>
      </c>
      <c r="H96" s="1">
        <v>108</v>
      </c>
      <c r="I96" s="1">
        <f t="shared" si="3"/>
        <v>2</v>
      </c>
      <c r="J96" s="1">
        <f>LEN(Table1[[#This Row],[Final_Word]])</f>
        <v>10</v>
      </c>
    </row>
    <row r="97" spans="1:10" x14ac:dyDescent="0.2">
      <c r="A97" s="1" t="s">
        <v>186</v>
      </c>
      <c r="B97" s="1" t="s">
        <v>187</v>
      </c>
      <c r="C97" s="1">
        <v>2.2999999999999998</v>
      </c>
      <c r="D97" s="1">
        <f t="shared" si="2"/>
        <v>2</v>
      </c>
      <c r="E97" s="1" t="str">
        <f>VLOOKUP(D97,'Level Key'!$A$1:$B$7,2,FALSE)</f>
        <v>novice</v>
      </c>
      <c r="F97" s="1" t="s">
        <v>133</v>
      </c>
      <c r="G97" s="2">
        <v>45915</v>
      </c>
      <c r="H97" s="1">
        <v>109</v>
      </c>
      <c r="I97" s="1">
        <f t="shared" si="3"/>
        <v>6</v>
      </c>
      <c r="J97" s="1">
        <f>LEN(Table1[[#This Row],[Final_Word]])</f>
        <v>9</v>
      </c>
    </row>
    <row r="98" spans="1:10" x14ac:dyDescent="0.2">
      <c r="A98" s="1" t="s">
        <v>188</v>
      </c>
      <c r="B98" s="1" t="s">
        <v>189</v>
      </c>
      <c r="C98" s="1">
        <v>2.4</v>
      </c>
      <c r="D98" s="1">
        <f t="shared" si="2"/>
        <v>2</v>
      </c>
      <c r="E98" s="1" t="str">
        <f>VLOOKUP(D98,'Level Key'!$A$1:$B$7,2,FALSE)</f>
        <v>novice</v>
      </c>
      <c r="F98" s="1" t="s">
        <v>133</v>
      </c>
      <c r="G98" s="2">
        <v>45916</v>
      </c>
      <c r="H98" s="1">
        <v>110</v>
      </c>
      <c r="I98" s="1">
        <f t="shared" si="3"/>
        <v>2</v>
      </c>
      <c r="J98" s="1">
        <f>LEN(Table1[[#This Row],[Final_Word]])</f>
        <v>9</v>
      </c>
    </row>
    <row r="99" spans="1:10" x14ac:dyDescent="0.2">
      <c r="A99" s="1" t="s">
        <v>190</v>
      </c>
      <c r="B99" s="1" t="s">
        <v>191</v>
      </c>
      <c r="C99" s="1">
        <v>2.3109999999999999</v>
      </c>
      <c r="D99" s="1">
        <f t="shared" si="2"/>
        <v>2</v>
      </c>
      <c r="E99" s="1" t="str">
        <f>VLOOKUP(D99,'Level Key'!$A$1:$B$7,2,FALSE)</f>
        <v>novice</v>
      </c>
      <c r="F99" s="1" t="s">
        <v>133</v>
      </c>
      <c r="G99" s="2">
        <v>45917</v>
      </c>
      <c r="H99" s="1">
        <v>111</v>
      </c>
      <c r="I99" s="1">
        <f t="shared" si="3"/>
        <v>5</v>
      </c>
      <c r="J99" s="1">
        <f>LEN(Table1[[#This Row],[Final_Word]])</f>
        <v>9</v>
      </c>
    </row>
    <row r="100" spans="1:10" x14ac:dyDescent="0.2">
      <c r="A100" s="1" t="s">
        <v>9</v>
      </c>
      <c r="B100" s="1" t="s">
        <v>192</v>
      </c>
      <c r="C100" s="1">
        <v>1.34</v>
      </c>
      <c r="D100" s="1">
        <f t="shared" si="2"/>
        <v>1</v>
      </c>
      <c r="E100" s="1" t="str">
        <f>VLOOKUP(D100,'Level Key'!$A$1:$B$7,2,FALSE)</f>
        <v>beginner</v>
      </c>
      <c r="F100" s="1" t="s">
        <v>133</v>
      </c>
      <c r="G100" s="2">
        <v>45918</v>
      </c>
      <c r="H100" s="1">
        <v>112</v>
      </c>
      <c r="I100" s="1">
        <f t="shared" si="3"/>
        <v>2</v>
      </c>
      <c r="J100" s="1">
        <f>LEN(Table1[[#This Row],[Final_Word]])</f>
        <v>7</v>
      </c>
    </row>
    <row r="101" spans="1:10" x14ac:dyDescent="0.2">
      <c r="A101" s="1" t="s">
        <v>69</v>
      </c>
      <c r="B101" s="1" t="s">
        <v>193</v>
      </c>
      <c r="C101" s="1">
        <v>2.95</v>
      </c>
      <c r="D101" s="1">
        <f t="shared" si="2"/>
        <v>2</v>
      </c>
      <c r="E101" s="1" t="str">
        <f>VLOOKUP(D101,'Level Key'!$A$1:$B$7,2,FALSE)</f>
        <v>novice</v>
      </c>
      <c r="F101" s="1" t="s">
        <v>133</v>
      </c>
      <c r="G101" s="2">
        <v>45919</v>
      </c>
      <c r="H101" s="1">
        <v>113</v>
      </c>
      <c r="I101" s="1">
        <f t="shared" si="3"/>
        <v>2</v>
      </c>
      <c r="J101" s="1">
        <f>LEN(Table1[[#This Row],[Final_Word]])</f>
        <v>8</v>
      </c>
    </row>
    <row r="102" spans="1:10" x14ac:dyDescent="0.2">
      <c r="A102" s="1" t="s">
        <v>42</v>
      </c>
      <c r="B102" s="1" t="s">
        <v>194</v>
      </c>
      <c r="C102" s="1">
        <v>2.5</v>
      </c>
      <c r="D102" s="1">
        <f t="shared" si="2"/>
        <v>2</v>
      </c>
      <c r="E102" s="1" t="str">
        <f>VLOOKUP(D102,'Level Key'!$A$1:$B$7,2,FALSE)</f>
        <v>novice</v>
      </c>
      <c r="F102" s="1" t="s">
        <v>133</v>
      </c>
      <c r="G102" s="2">
        <v>45920</v>
      </c>
      <c r="H102" s="1">
        <v>114</v>
      </c>
      <c r="I102" s="1">
        <f t="shared" si="3"/>
        <v>2</v>
      </c>
      <c r="J102" s="1">
        <f>LEN(Table1[[#This Row],[Final_Word]])</f>
        <v>8</v>
      </c>
    </row>
    <row r="103" spans="1:10" x14ac:dyDescent="0.2">
      <c r="A103" s="1" t="s">
        <v>195</v>
      </c>
      <c r="B103" s="1" t="s">
        <v>228</v>
      </c>
      <c r="C103" s="1">
        <v>3.34</v>
      </c>
      <c r="D103" s="1">
        <f t="shared" si="2"/>
        <v>3</v>
      </c>
      <c r="E103" s="1" t="str">
        <f>VLOOKUP(D103,'Level Key'!$A$1:$B$7,2,FALSE)</f>
        <v>expert</v>
      </c>
      <c r="F103" s="1" t="s">
        <v>133</v>
      </c>
      <c r="G103" s="2">
        <v>45921</v>
      </c>
      <c r="H103" s="1">
        <v>115</v>
      </c>
      <c r="I103" s="1">
        <f t="shared" si="3"/>
        <v>6</v>
      </c>
      <c r="J103" s="1">
        <f>LEN(Table1[[#This Row],[Final_Word]])</f>
        <v>10</v>
      </c>
    </row>
    <row r="104" spans="1:10" x14ac:dyDescent="0.2">
      <c r="A104" s="1" t="s">
        <v>99</v>
      </c>
      <c r="B104" s="1" t="s">
        <v>196</v>
      </c>
      <c r="C104" s="1">
        <v>2.2999999999999998</v>
      </c>
      <c r="D104" s="1">
        <f t="shared" si="2"/>
        <v>2</v>
      </c>
      <c r="E104" s="1" t="str">
        <f>VLOOKUP(D104,'Level Key'!$A$1:$B$7,2,FALSE)</f>
        <v>novice</v>
      </c>
      <c r="F104" s="1" t="s">
        <v>133</v>
      </c>
      <c r="G104" s="2">
        <v>45922</v>
      </c>
      <c r="H104" s="1">
        <v>116</v>
      </c>
      <c r="I104" s="1">
        <f t="shared" si="3"/>
        <v>2</v>
      </c>
      <c r="J104" s="1">
        <f>LEN(Table1[[#This Row],[Final_Word]])</f>
        <v>8</v>
      </c>
    </row>
    <row r="105" spans="1:10" x14ac:dyDescent="0.2">
      <c r="A105" s="1" t="s">
        <v>197</v>
      </c>
      <c r="B105" s="1" t="s">
        <v>198</v>
      </c>
      <c r="C105" s="1">
        <v>1.7</v>
      </c>
      <c r="D105" s="1">
        <f t="shared" si="2"/>
        <v>1</v>
      </c>
      <c r="E105" s="1" t="str">
        <f>VLOOKUP(D105,'Level Key'!$A$1:$B$7,2,FALSE)</f>
        <v>beginner</v>
      </c>
      <c r="F105" s="1" t="s">
        <v>133</v>
      </c>
      <c r="G105" s="2">
        <v>45923</v>
      </c>
      <c r="H105" s="1">
        <v>117</v>
      </c>
      <c r="I105" s="1">
        <f t="shared" si="3"/>
        <v>3</v>
      </c>
      <c r="J105" s="1">
        <f>LEN(Table1[[#This Row],[Final_Word]])</f>
        <v>7</v>
      </c>
    </row>
    <row r="106" spans="1:10" x14ac:dyDescent="0.2">
      <c r="A106" s="1" t="s">
        <v>118</v>
      </c>
      <c r="B106" s="1" t="s">
        <v>199</v>
      </c>
      <c r="C106" s="1">
        <v>2.4</v>
      </c>
      <c r="D106" s="1">
        <f t="shared" si="2"/>
        <v>2</v>
      </c>
      <c r="E106" s="1" t="str">
        <f>VLOOKUP(D106,'Level Key'!$A$1:$B$7,2,FALSE)</f>
        <v>novice</v>
      </c>
      <c r="F106" s="1" t="s">
        <v>133</v>
      </c>
      <c r="G106" s="2">
        <v>45924</v>
      </c>
      <c r="H106" s="1">
        <v>118</v>
      </c>
      <c r="I106" s="1">
        <f t="shared" si="3"/>
        <v>2</v>
      </c>
      <c r="J106" s="1">
        <f>LEN(Table1[[#This Row],[Final_Word]])</f>
        <v>8</v>
      </c>
    </row>
    <row r="107" spans="1:10" x14ac:dyDescent="0.2">
      <c r="A107" s="1" t="s">
        <v>200</v>
      </c>
      <c r="B107" s="1" t="s">
        <v>201</v>
      </c>
      <c r="C107" s="1">
        <v>1.9</v>
      </c>
      <c r="D107" s="1">
        <f t="shared" si="2"/>
        <v>1</v>
      </c>
      <c r="E107" s="1" t="str">
        <f>VLOOKUP(D107,'Level Key'!$A$1:$B$7,2,FALSE)</f>
        <v>beginner</v>
      </c>
      <c r="F107" s="1" t="s">
        <v>133</v>
      </c>
      <c r="G107" s="2">
        <v>45925</v>
      </c>
      <c r="H107" s="1">
        <v>119</v>
      </c>
      <c r="I107" s="1">
        <f t="shared" si="3"/>
        <v>3</v>
      </c>
      <c r="J107" s="1">
        <f>LEN(Table1[[#This Row],[Final_Word]])</f>
        <v>7</v>
      </c>
    </row>
    <row r="108" spans="1:10" x14ac:dyDescent="0.2">
      <c r="A108" s="1" t="s">
        <v>202</v>
      </c>
      <c r="B108" s="1" t="s">
        <v>203</v>
      </c>
      <c r="C108" s="1">
        <v>1.3</v>
      </c>
      <c r="D108" s="1">
        <f t="shared" si="2"/>
        <v>1</v>
      </c>
      <c r="E108" s="1" t="str">
        <f>VLOOKUP(D108,'Level Key'!$A$1:$B$7,2,FALSE)</f>
        <v>beginner</v>
      </c>
      <c r="F108" s="1" t="s">
        <v>133</v>
      </c>
      <c r="G108" s="2">
        <v>45926</v>
      </c>
      <c r="H108" s="1">
        <v>120</v>
      </c>
      <c r="I108" s="1">
        <f t="shared" si="3"/>
        <v>3</v>
      </c>
      <c r="J108" s="1">
        <f>LEN(Table1[[#This Row],[Final_Word]])</f>
        <v>6</v>
      </c>
    </row>
    <row r="109" spans="1:10" x14ac:dyDescent="0.2">
      <c r="A109" s="1" t="s">
        <v>205</v>
      </c>
      <c r="B109" s="1" t="s">
        <v>206</v>
      </c>
      <c r="C109" s="1">
        <v>3.0009999999999999</v>
      </c>
      <c r="D109" s="1">
        <f t="shared" si="2"/>
        <v>3</v>
      </c>
      <c r="E109" s="1" t="str">
        <f>VLOOKUP(D109,'Level Key'!$A$1:$B$7,2,FALSE)</f>
        <v>expert</v>
      </c>
      <c r="F109" s="1" t="s">
        <v>133</v>
      </c>
      <c r="G109" s="2">
        <v>45927</v>
      </c>
      <c r="H109" s="1">
        <v>122</v>
      </c>
      <c r="I109" s="1">
        <f t="shared" si="3"/>
        <v>3</v>
      </c>
      <c r="J109" s="1">
        <f>LEN(Table1[[#This Row],[Final_Word]])</f>
        <v>7</v>
      </c>
    </row>
    <row r="110" spans="1:10" x14ac:dyDescent="0.2">
      <c r="A110" s="1" t="s">
        <v>207</v>
      </c>
      <c r="B110" s="1" t="s">
        <v>208</v>
      </c>
      <c r="C110" s="1">
        <v>1.9</v>
      </c>
      <c r="D110" s="1">
        <f t="shared" si="2"/>
        <v>1</v>
      </c>
      <c r="E110" s="1" t="str">
        <f>VLOOKUP(D110,'Level Key'!$A$1:$B$7,2,FALSE)</f>
        <v>beginner</v>
      </c>
      <c r="F110" s="1" t="s">
        <v>133</v>
      </c>
      <c r="G110" s="2">
        <v>45928</v>
      </c>
      <c r="H110" s="1">
        <v>123</v>
      </c>
      <c r="I110" s="1">
        <f t="shared" si="3"/>
        <v>3</v>
      </c>
      <c r="J110" s="1">
        <f>LEN(Table1[[#This Row],[Final_Word]])</f>
        <v>7</v>
      </c>
    </row>
    <row r="111" spans="1:10" x14ac:dyDescent="0.2">
      <c r="A111" s="1" t="s">
        <v>209</v>
      </c>
      <c r="B111" s="1" t="s">
        <v>210</v>
      </c>
      <c r="C111" s="1">
        <v>1.7</v>
      </c>
      <c r="D111" s="1">
        <f t="shared" si="2"/>
        <v>1</v>
      </c>
      <c r="E111" s="1" t="str">
        <f>VLOOKUP(D111,'Level Key'!$A$1:$B$7,2,FALSE)</f>
        <v>beginner</v>
      </c>
      <c r="F111" s="1" t="s">
        <v>133</v>
      </c>
      <c r="G111" s="2">
        <v>45929</v>
      </c>
      <c r="H111" s="1">
        <v>124</v>
      </c>
      <c r="I111" s="1">
        <f t="shared" si="3"/>
        <v>3</v>
      </c>
      <c r="J111" s="1">
        <f>LEN(Table1[[#This Row],[Final_Word]])</f>
        <v>8</v>
      </c>
    </row>
    <row r="112" spans="1:10" x14ac:dyDescent="0.2">
      <c r="A112" s="1" t="s">
        <v>29</v>
      </c>
      <c r="B112" s="1" t="s">
        <v>211</v>
      </c>
      <c r="C112" s="1">
        <v>2.21</v>
      </c>
      <c r="D112" s="1">
        <f t="shared" si="2"/>
        <v>2</v>
      </c>
      <c r="E112" s="1" t="str">
        <f>VLOOKUP(D112,'Level Key'!$A$1:$B$7,2,FALSE)</f>
        <v>novice</v>
      </c>
      <c r="F112" s="1" t="s">
        <v>133</v>
      </c>
      <c r="G112" s="2">
        <v>45930</v>
      </c>
      <c r="H112" s="1">
        <v>125</v>
      </c>
      <c r="I112" s="1">
        <f t="shared" si="3"/>
        <v>2</v>
      </c>
      <c r="J112" s="1">
        <f>LEN(Table1[[#This Row],[Final_Word]])</f>
        <v>7</v>
      </c>
    </row>
    <row r="113" spans="1:10" x14ac:dyDescent="0.2">
      <c r="A113" s="1" t="s">
        <v>212</v>
      </c>
      <c r="B113" s="1" t="s">
        <v>213</v>
      </c>
      <c r="C113" s="1">
        <v>2.5</v>
      </c>
      <c r="D113" s="1">
        <f t="shared" si="2"/>
        <v>2</v>
      </c>
      <c r="E113" s="1" t="str">
        <f>VLOOKUP(D113,'Level Key'!$A$1:$B$7,2,FALSE)</f>
        <v>novice</v>
      </c>
      <c r="F113" s="1" t="s">
        <v>133</v>
      </c>
      <c r="G113" s="2">
        <v>45931</v>
      </c>
      <c r="H113" s="1">
        <v>126</v>
      </c>
      <c r="I113" s="1">
        <f t="shared" si="3"/>
        <v>3</v>
      </c>
      <c r="J113" s="1">
        <f>LEN(Table1[[#This Row],[Final_Word]])</f>
        <v>10</v>
      </c>
    </row>
    <row r="114" spans="1:10" x14ac:dyDescent="0.2">
      <c r="A114" s="1" t="s">
        <v>214</v>
      </c>
      <c r="B114" s="1" t="s">
        <v>215</v>
      </c>
      <c r="C114" s="1">
        <v>2.7</v>
      </c>
      <c r="D114" s="1">
        <f t="shared" si="2"/>
        <v>2</v>
      </c>
      <c r="E114" s="1" t="str">
        <f>VLOOKUP(D114,'Level Key'!$A$1:$B$7,2,FALSE)</f>
        <v>novice</v>
      </c>
      <c r="F114" s="1" t="s">
        <v>133</v>
      </c>
      <c r="G114" s="2">
        <v>45932</v>
      </c>
      <c r="H114" s="1">
        <v>127</v>
      </c>
      <c r="I114" s="1">
        <f t="shared" si="3"/>
        <v>3</v>
      </c>
      <c r="J114" s="1">
        <f>LEN(Table1[[#This Row],[Final_Word]])</f>
        <v>9</v>
      </c>
    </row>
    <row r="115" spans="1:10" x14ac:dyDescent="0.2">
      <c r="A115" s="1" t="s">
        <v>216</v>
      </c>
      <c r="B115" s="1" t="s">
        <v>217</v>
      </c>
      <c r="C115" s="1">
        <v>2.3210000000000002</v>
      </c>
      <c r="D115" s="1">
        <f t="shared" si="2"/>
        <v>2</v>
      </c>
      <c r="E115" s="1" t="str">
        <f>VLOOKUP(D115,'Level Key'!$A$1:$B$7,2,FALSE)</f>
        <v>novice</v>
      </c>
      <c r="F115" s="1" t="s">
        <v>133</v>
      </c>
      <c r="G115" s="2">
        <v>45933</v>
      </c>
      <c r="H115" s="1">
        <v>128</v>
      </c>
      <c r="I115" s="1">
        <f t="shared" si="3"/>
        <v>4</v>
      </c>
      <c r="J115" s="1">
        <f>LEN(Table1[[#This Row],[Final_Word]])</f>
        <v>9</v>
      </c>
    </row>
    <row r="116" spans="1:10" x14ac:dyDescent="0.2">
      <c r="A116" s="1" t="s">
        <v>220</v>
      </c>
      <c r="B116" s="1" t="s">
        <v>221</v>
      </c>
      <c r="C116" s="1">
        <v>1.82</v>
      </c>
      <c r="D116" s="1">
        <f t="shared" si="2"/>
        <v>1</v>
      </c>
      <c r="E116" s="1" t="str">
        <f>VLOOKUP(D116,'Level Key'!$A$1:$B$7,2,FALSE)</f>
        <v>beginner</v>
      </c>
      <c r="F116" s="1" t="s">
        <v>133</v>
      </c>
      <c r="G116" s="2">
        <v>45934</v>
      </c>
      <c r="H116" s="1">
        <v>130</v>
      </c>
      <c r="I116" s="1">
        <f t="shared" si="3"/>
        <v>3</v>
      </c>
      <c r="J116" s="1">
        <f>LEN(Table1[[#This Row],[Final_Word]])</f>
        <v>8</v>
      </c>
    </row>
    <row r="117" spans="1:10" x14ac:dyDescent="0.2">
      <c r="A117" s="1" t="s">
        <v>240</v>
      </c>
      <c r="B117" s="1" t="s">
        <v>222</v>
      </c>
      <c r="C117" s="1">
        <v>2.411</v>
      </c>
      <c r="D117" s="1">
        <f t="shared" si="2"/>
        <v>2</v>
      </c>
      <c r="E117" s="1" t="str">
        <f>VLOOKUP(D117,'Level Key'!$A$1:$B$7,2,FALSE)</f>
        <v>novice</v>
      </c>
      <c r="F117" s="1" t="s">
        <v>133</v>
      </c>
      <c r="G117" s="2">
        <v>45935</v>
      </c>
      <c r="H117" s="1">
        <v>131</v>
      </c>
      <c r="I117" s="1">
        <f t="shared" si="3"/>
        <v>4</v>
      </c>
      <c r="J117" s="1">
        <f>LEN(Table1[[#This Row],[Final_Word]])</f>
        <v>10</v>
      </c>
    </row>
    <row r="118" spans="1:10" x14ac:dyDescent="0.2">
      <c r="A118" s="1" t="s">
        <v>223</v>
      </c>
      <c r="B118" s="1" t="s">
        <v>224</v>
      </c>
      <c r="C118" s="1">
        <v>2.0499999999999998</v>
      </c>
      <c r="D118" s="1">
        <f t="shared" si="2"/>
        <v>2</v>
      </c>
      <c r="E118" s="1" t="str">
        <f>VLOOKUP(D118,'Level Key'!$A$1:$B$7,2,FALSE)</f>
        <v>novice</v>
      </c>
      <c r="F118" s="1" t="s">
        <v>133</v>
      </c>
      <c r="G118" s="2">
        <v>45936</v>
      </c>
      <c r="H118" s="1">
        <v>132</v>
      </c>
      <c r="I118" s="1">
        <f t="shared" si="3"/>
        <v>6</v>
      </c>
      <c r="J118" s="1">
        <f>LEN(Table1[[#This Row],[Final_Word]])</f>
        <v>9</v>
      </c>
    </row>
    <row r="119" spans="1:10" x14ac:dyDescent="0.2">
      <c r="A119" s="1" t="s">
        <v>60</v>
      </c>
      <c r="B119" s="1" t="s">
        <v>225</v>
      </c>
      <c r="C119" s="1">
        <v>1.9</v>
      </c>
      <c r="D119" s="1">
        <f t="shared" si="2"/>
        <v>1</v>
      </c>
      <c r="E119" s="1" t="str">
        <f>VLOOKUP(D119,'Level Key'!$A$1:$B$7,2,FALSE)</f>
        <v>beginner</v>
      </c>
      <c r="F119" s="1" t="s">
        <v>133</v>
      </c>
      <c r="G119" s="2">
        <v>45937</v>
      </c>
      <c r="H119" s="1">
        <v>133</v>
      </c>
      <c r="I119" s="1">
        <f t="shared" si="3"/>
        <v>2</v>
      </c>
      <c r="J119" s="1">
        <f>LEN(Table1[[#This Row],[Final_Word]])</f>
        <v>6</v>
      </c>
    </row>
    <row r="120" spans="1:10" x14ac:dyDescent="0.2">
      <c r="A120" s="1" t="s">
        <v>226</v>
      </c>
      <c r="B120" s="1" t="s">
        <v>227</v>
      </c>
      <c r="C120" s="1">
        <v>1.88</v>
      </c>
      <c r="D120" s="1">
        <f t="shared" si="2"/>
        <v>1</v>
      </c>
      <c r="E120" s="1" t="str">
        <f>VLOOKUP(D120,'Level Key'!$A$1:$B$7,2,FALSE)</f>
        <v>beginner</v>
      </c>
      <c r="F120" s="1" t="s">
        <v>133</v>
      </c>
      <c r="G120" s="2">
        <v>45938</v>
      </c>
      <c r="H120" s="1">
        <v>134</v>
      </c>
      <c r="I120" s="1">
        <f t="shared" si="3"/>
        <v>3</v>
      </c>
      <c r="J120" s="1">
        <f>LEN(Table1[[#This Row],[Final_Word]])</f>
        <v>6</v>
      </c>
    </row>
    <row r="121" spans="1:10" x14ac:dyDescent="0.2">
      <c r="A121" s="1" t="s">
        <v>229</v>
      </c>
      <c r="B121" s="1" t="s">
        <v>230</v>
      </c>
      <c r="C121" s="1">
        <v>2.2999999999999998</v>
      </c>
      <c r="D121" s="1">
        <f t="shared" si="2"/>
        <v>2</v>
      </c>
      <c r="E121" s="1" t="str">
        <f>VLOOKUP(D121,'Level Key'!$A$1:$B$7,2,FALSE)</f>
        <v>novice</v>
      </c>
      <c r="F121" s="1" t="s">
        <v>133</v>
      </c>
      <c r="G121" s="2">
        <v>45939</v>
      </c>
      <c r="H121" s="1">
        <v>135</v>
      </c>
      <c r="I121" s="1">
        <f t="shared" si="3"/>
        <v>4</v>
      </c>
      <c r="J121" s="1">
        <f>LEN(Table1[[#This Row],[Final_Word]])</f>
        <v>10</v>
      </c>
    </row>
    <row r="122" spans="1:10" x14ac:dyDescent="0.2">
      <c r="A122" s="1" t="s">
        <v>231</v>
      </c>
      <c r="B122" s="1" t="s">
        <v>232</v>
      </c>
      <c r="C122" s="1">
        <v>1.95</v>
      </c>
      <c r="D122" s="1">
        <f t="shared" si="2"/>
        <v>1</v>
      </c>
      <c r="E122" s="1" t="str">
        <f>VLOOKUP(D122,'Level Key'!$A$1:$B$7,2,FALSE)</f>
        <v>beginner</v>
      </c>
      <c r="F122" s="1" t="s">
        <v>133</v>
      </c>
      <c r="G122" s="2">
        <v>45940</v>
      </c>
      <c r="H122" s="1">
        <v>136</v>
      </c>
      <c r="I122" s="1">
        <f t="shared" si="3"/>
        <v>6</v>
      </c>
      <c r="J122" s="1">
        <f>LEN(Table1[[#This Row],[Final_Word]])</f>
        <v>8</v>
      </c>
    </row>
    <row r="123" spans="1:10" x14ac:dyDescent="0.2">
      <c r="A123" s="1" t="s">
        <v>81</v>
      </c>
      <c r="B123" s="1" t="s">
        <v>233</v>
      </c>
      <c r="C123" s="1">
        <v>2.0099999999999998</v>
      </c>
      <c r="D123" s="1">
        <f t="shared" si="2"/>
        <v>2</v>
      </c>
      <c r="E123" s="1" t="str">
        <f>VLOOKUP(D123,'Level Key'!$A$1:$B$7,2,FALSE)</f>
        <v>novice</v>
      </c>
      <c r="F123" s="1" t="s">
        <v>133</v>
      </c>
      <c r="G123" s="2">
        <v>45941</v>
      </c>
      <c r="H123" s="1">
        <v>137</v>
      </c>
      <c r="I123" s="1">
        <f t="shared" si="3"/>
        <v>3</v>
      </c>
      <c r="J123" s="1">
        <f>LEN(Table1[[#This Row],[Final_Word]])</f>
        <v>8</v>
      </c>
    </row>
    <row r="124" spans="1:10" x14ac:dyDescent="0.2">
      <c r="A124" s="1" t="s">
        <v>83</v>
      </c>
      <c r="B124" s="1" t="s">
        <v>234</v>
      </c>
      <c r="C124" s="1">
        <v>2.0539999999999998</v>
      </c>
      <c r="D124" s="1">
        <f t="shared" si="2"/>
        <v>2</v>
      </c>
      <c r="E124" s="1" t="str">
        <f>VLOOKUP(D124,'Level Key'!$A$1:$B$7,2,FALSE)</f>
        <v>novice</v>
      </c>
      <c r="F124" s="1" t="s">
        <v>133</v>
      </c>
      <c r="G124" s="2">
        <v>45942</v>
      </c>
      <c r="H124" s="1">
        <v>138</v>
      </c>
      <c r="I124" s="1">
        <f t="shared" si="3"/>
        <v>3</v>
      </c>
      <c r="J124" s="1">
        <f>LEN(Table1[[#This Row],[Final_Word]])</f>
        <v>10</v>
      </c>
    </row>
    <row r="125" spans="1:10" x14ac:dyDescent="0.2">
      <c r="A125" s="1" t="s">
        <v>13</v>
      </c>
      <c r="B125" s="1" t="s">
        <v>235</v>
      </c>
      <c r="C125" s="1">
        <v>1.8</v>
      </c>
      <c r="D125" s="1">
        <f t="shared" si="2"/>
        <v>1</v>
      </c>
      <c r="E125" s="1" t="str">
        <f>VLOOKUP(D125,'Level Key'!$A$1:$B$7,2,FALSE)</f>
        <v>beginner</v>
      </c>
      <c r="F125" s="1" t="s">
        <v>133</v>
      </c>
      <c r="G125" s="2">
        <v>45943</v>
      </c>
      <c r="H125" s="1">
        <v>139</v>
      </c>
      <c r="I125" s="1">
        <f t="shared" si="3"/>
        <v>2</v>
      </c>
      <c r="J125" s="1">
        <f>LEN(Table1[[#This Row],[Final_Word]])</f>
        <v>8</v>
      </c>
    </row>
    <row r="126" spans="1:10" x14ac:dyDescent="0.2">
      <c r="A126" s="1" t="s">
        <v>236</v>
      </c>
      <c r="B126" s="1" t="s">
        <v>237</v>
      </c>
      <c r="C126" s="1">
        <v>2.7</v>
      </c>
      <c r="D126" s="1">
        <f t="shared" si="2"/>
        <v>2</v>
      </c>
      <c r="E126" s="1" t="str">
        <f>VLOOKUP(D126,'Level Key'!$A$1:$B$7,2,FALSE)</f>
        <v>novice</v>
      </c>
      <c r="F126" s="1" t="s">
        <v>133</v>
      </c>
      <c r="G126" s="2">
        <v>45944</v>
      </c>
      <c r="H126" s="1">
        <v>140</v>
      </c>
      <c r="I126" s="1">
        <f t="shared" si="3"/>
        <v>5</v>
      </c>
      <c r="J126" s="1">
        <f>LEN(Table1[[#This Row],[Final_Word]])</f>
        <v>10</v>
      </c>
    </row>
    <row r="127" spans="1:10" x14ac:dyDescent="0.2">
      <c r="A127" s="1" t="s">
        <v>238</v>
      </c>
      <c r="B127" s="1" t="s">
        <v>239</v>
      </c>
      <c r="C127" s="1">
        <v>2.9</v>
      </c>
      <c r="D127" s="1">
        <f t="shared" si="2"/>
        <v>2</v>
      </c>
      <c r="E127" s="1" t="str">
        <f>VLOOKUP(D127,'Level Key'!$A$1:$B$7,2,FALSE)</f>
        <v>novice</v>
      </c>
      <c r="F127" s="1" t="s">
        <v>133</v>
      </c>
      <c r="G127" s="2">
        <v>45945</v>
      </c>
      <c r="H127" s="1">
        <v>141</v>
      </c>
      <c r="I127" s="1">
        <f t="shared" si="3"/>
        <v>4</v>
      </c>
      <c r="J127" s="1">
        <f>LEN(Table1[[#This Row],[Final_Word]])</f>
        <v>9</v>
      </c>
    </row>
    <row r="128" spans="1:10" x14ac:dyDescent="0.2">
      <c r="A128" s="1" t="s">
        <v>241</v>
      </c>
      <c r="B128" s="1" t="s">
        <v>242</v>
      </c>
      <c r="C128" s="1">
        <v>2.6</v>
      </c>
      <c r="D128" s="1">
        <f t="shared" si="2"/>
        <v>2</v>
      </c>
      <c r="E128" s="1" t="str">
        <f>VLOOKUP(D128,'Level Key'!$A$1:$B$7,2,FALSE)</f>
        <v>novice</v>
      </c>
      <c r="F128" s="1" t="s">
        <v>133</v>
      </c>
      <c r="G128" s="2">
        <v>45946</v>
      </c>
      <c r="H128" s="1">
        <v>142</v>
      </c>
      <c r="I128" s="1">
        <f t="shared" si="3"/>
        <v>4</v>
      </c>
      <c r="J128" s="1">
        <f>LEN(Table1[[#This Row],[Final_Word]])</f>
        <v>10</v>
      </c>
    </row>
    <row r="129" spans="1:10" x14ac:dyDescent="0.2">
      <c r="A129" s="1" t="s">
        <v>97</v>
      </c>
      <c r="B129" s="1" t="s">
        <v>243</v>
      </c>
      <c r="C129" s="1">
        <v>3.2129370000000002</v>
      </c>
      <c r="D129" s="1">
        <f t="shared" si="2"/>
        <v>3</v>
      </c>
      <c r="E129" s="1" t="str">
        <f>VLOOKUP(D129,'Level Key'!$A$1:$B$7,2,FALSE)</f>
        <v>expert</v>
      </c>
      <c r="F129" s="1" t="s">
        <v>133</v>
      </c>
      <c r="G129" s="2">
        <v>45947</v>
      </c>
      <c r="H129" s="1">
        <v>143</v>
      </c>
      <c r="I129" s="1">
        <f t="shared" si="3"/>
        <v>3</v>
      </c>
      <c r="J129" s="1">
        <f>LEN(Table1[[#This Row],[Final_Word]])</f>
        <v>11</v>
      </c>
    </row>
    <row r="130" spans="1:10" x14ac:dyDescent="0.2">
      <c r="A130" s="1" t="s">
        <v>244</v>
      </c>
      <c r="B130" s="1" t="s">
        <v>245</v>
      </c>
      <c r="C130" s="1">
        <v>2.7</v>
      </c>
      <c r="D130" s="1">
        <f t="shared" ref="D130:D193" si="4">ROUNDDOWN(C130,0)</f>
        <v>2</v>
      </c>
      <c r="E130" s="1" t="str">
        <f>VLOOKUP(D130,'Level Key'!$A$1:$B$7,2,FALSE)</f>
        <v>novice</v>
      </c>
      <c r="F130" s="1" t="s">
        <v>133</v>
      </c>
      <c r="G130" s="2">
        <v>45948</v>
      </c>
      <c r="H130" s="1">
        <v>144</v>
      </c>
      <c r="I130" s="1">
        <f t="shared" ref="I130:I193" si="5">LEN(A130)</f>
        <v>4</v>
      </c>
      <c r="J130" s="1">
        <f>LEN(Table1[[#This Row],[Final_Word]])</f>
        <v>8</v>
      </c>
    </row>
    <row r="131" spans="1:10" x14ac:dyDescent="0.2">
      <c r="A131" s="1" t="s">
        <v>246</v>
      </c>
      <c r="B131" s="1" t="s">
        <v>247</v>
      </c>
      <c r="C131" s="1">
        <v>1.91</v>
      </c>
      <c r="D131" s="1">
        <f t="shared" si="4"/>
        <v>1</v>
      </c>
      <c r="E131" s="1" t="str">
        <f>VLOOKUP(D131,'Level Key'!$A$1:$B$7,2,FALSE)</f>
        <v>beginner</v>
      </c>
      <c r="F131" s="1" t="s">
        <v>133</v>
      </c>
      <c r="G131" s="2">
        <v>45949</v>
      </c>
      <c r="H131" s="1">
        <v>145</v>
      </c>
      <c r="I131" s="1">
        <f t="shared" si="5"/>
        <v>6</v>
      </c>
      <c r="J131" s="1">
        <f>LEN(Table1[[#This Row],[Final_Word]])</f>
        <v>8</v>
      </c>
    </row>
    <row r="132" spans="1:10" x14ac:dyDescent="0.2">
      <c r="A132" s="1" t="s">
        <v>248</v>
      </c>
      <c r="B132" s="1" t="s">
        <v>249</v>
      </c>
      <c r="C132" s="1">
        <v>1.7</v>
      </c>
      <c r="D132" s="1">
        <f t="shared" si="4"/>
        <v>1</v>
      </c>
      <c r="E132" s="1" t="str">
        <f>VLOOKUP(D132,'Level Key'!$A$1:$B$7,2,FALSE)</f>
        <v>beginner</v>
      </c>
      <c r="F132" s="1" t="s">
        <v>133</v>
      </c>
      <c r="G132" s="2">
        <v>45950</v>
      </c>
      <c r="H132" s="1">
        <v>146</v>
      </c>
      <c r="I132" s="1">
        <f t="shared" si="5"/>
        <v>4</v>
      </c>
      <c r="J132" s="1">
        <f>LEN(Table1[[#This Row],[Final_Word]])</f>
        <v>8</v>
      </c>
    </row>
    <row r="133" spans="1:10" x14ac:dyDescent="0.2">
      <c r="A133" s="1" t="s">
        <v>250</v>
      </c>
      <c r="B133" s="1" t="s">
        <v>251</v>
      </c>
      <c r="C133" s="1">
        <v>1.95</v>
      </c>
      <c r="D133" s="1">
        <f t="shared" si="4"/>
        <v>1</v>
      </c>
      <c r="E133" s="1" t="str">
        <f>VLOOKUP(D133,'Level Key'!$A$1:$B$7,2,FALSE)</f>
        <v>beginner</v>
      </c>
      <c r="F133" s="1" t="s">
        <v>133</v>
      </c>
      <c r="G133" s="2">
        <v>45951</v>
      </c>
      <c r="H133" s="1">
        <v>147</v>
      </c>
      <c r="I133" s="1">
        <f t="shared" si="5"/>
        <v>3</v>
      </c>
      <c r="J133" s="1">
        <f>LEN(Table1[[#This Row],[Final_Word]])</f>
        <v>7</v>
      </c>
    </row>
    <row r="134" spans="1:10" x14ac:dyDescent="0.2">
      <c r="A134" s="1" t="s">
        <v>168</v>
      </c>
      <c r="B134" s="1" t="s">
        <v>252</v>
      </c>
      <c r="C134" s="1">
        <v>2.78</v>
      </c>
      <c r="D134" s="1">
        <f t="shared" si="4"/>
        <v>2</v>
      </c>
      <c r="E134" s="1" t="str">
        <f>VLOOKUP(D134,'Level Key'!$A$1:$B$7,2,FALSE)</f>
        <v>novice</v>
      </c>
      <c r="F134" s="1" t="s">
        <v>133</v>
      </c>
      <c r="G134" s="2">
        <v>45952</v>
      </c>
      <c r="H134" s="1">
        <v>148</v>
      </c>
      <c r="I134" s="1">
        <f t="shared" si="5"/>
        <v>3</v>
      </c>
      <c r="J134" s="1">
        <f>LEN(Table1[[#This Row],[Final_Word]])</f>
        <v>7</v>
      </c>
    </row>
    <row r="135" spans="1:10" x14ac:dyDescent="0.2">
      <c r="A135" s="1" t="s">
        <v>253</v>
      </c>
      <c r="B135" s="1" t="s">
        <v>254</v>
      </c>
      <c r="C135" s="1">
        <v>1.64</v>
      </c>
      <c r="D135" s="1">
        <f t="shared" si="4"/>
        <v>1</v>
      </c>
      <c r="E135" s="1" t="str">
        <f>VLOOKUP(D135,'Level Key'!$A$1:$B$7,2,FALSE)</f>
        <v>beginner</v>
      </c>
      <c r="F135" s="1" t="s">
        <v>133</v>
      </c>
      <c r="G135" s="2">
        <v>45953</v>
      </c>
      <c r="H135" s="1">
        <v>149</v>
      </c>
      <c r="I135" s="1">
        <f t="shared" si="5"/>
        <v>3</v>
      </c>
      <c r="J135" s="1">
        <f>LEN(Table1[[#This Row],[Final_Word]])</f>
        <v>7</v>
      </c>
    </row>
    <row r="136" spans="1:10" x14ac:dyDescent="0.2">
      <c r="A136" s="1" t="s">
        <v>255</v>
      </c>
      <c r="B136" s="1" t="s">
        <v>256</v>
      </c>
      <c r="C136" s="1">
        <v>1.85</v>
      </c>
      <c r="D136" s="1">
        <f t="shared" si="4"/>
        <v>1</v>
      </c>
      <c r="E136" s="1" t="str">
        <f>VLOOKUP(D136,'Level Key'!$A$1:$B$7,2,FALSE)</f>
        <v>beginner</v>
      </c>
      <c r="F136" s="1" t="s">
        <v>133</v>
      </c>
      <c r="G136" s="2">
        <v>45954</v>
      </c>
      <c r="H136" s="1">
        <v>150</v>
      </c>
      <c r="I136" s="1">
        <f t="shared" si="5"/>
        <v>3</v>
      </c>
      <c r="J136" s="1">
        <f>LEN(Table1[[#This Row],[Final_Word]])</f>
        <v>7</v>
      </c>
    </row>
    <row r="137" spans="1:10" x14ac:dyDescent="0.2">
      <c r="A137" s="1" t="s">
        <v>257</v>
      </c>
      <c r="B137" s="1" t="s">
        <v>258</v>
      </c>
      <c r="C137" s="1">
        <v>1.67</v>
      </c>
      <c r="D137" s="1">
        <f t="shared" si="4"/>
        <v>1</v>
      </c>
      <c r="E137" s="1" t="str">
        <f>VLOOKUP(D137,'Level Key'!$A$1:$B$7,2,FALSE)</f>
        <v>beginner</v>
      </c>
      <c r="F137" s="1" t="s">
        <v>133</v>
      </c>
      <c r="G137" s="2">
        <v>45955</v>
      </c>
      <c r="H137" s="1">
        <v>151</v>
      </c>
      <c r="I137" s="1">
        <f t="shared" si="5"/>
        <v>3</v>
      </c>
      <c r="J137" s="1">
        <f>LEN(Table1[[#This Row],[Final_Word]])</f>
        <v>7</v>
      </c>
    </row>
    <row r="138" spans="1:10" x14ac:dyDescent="0.2">
      <c r="A138" s="1" t="s">
        <v>259</v>
      </c>
      <c r="B138" s="1" t="s">
        <v>260</v>
      </c>
      <c r="C138" s="1">
        <v>2.9</v>
      </c>
      <c r="D138" s="1">
        <f t="shared" si="4"/>
        <v>2</v>
      </c>
      <c r="E138" s="1" t="str">
        <f>VLOOKUP(D138,'Level Key'!$A$1:$B$7,2,FALSE)</f>
        <v>novice</v>
      </c>
      <c r="F138" s="1" t="s">
        <v>133</v>
      </c>
      <c r="G138" s="2">
        <v>45956</v>
      </c>
      <c r="H138" s="1">
        <v>152</v>
      </c>
      <c r="I138" s="1">
        <f t="shared" si="5"/>
        <v>4</v>
      </c>
      <c r="J138" s="1">
        <f>LEN(Table1[[#This Row],[Final_Word]])</f>
        <v>10</v>
      </c>
    </row>
    <row r="139" spans="1:10" x14ac:dyDescent="0.2">
      <c r="A139" s="1" t="s">
        <v>261</v>
      </c>
      <c r="B139" s="1" t="s">
        <v>262</v>
      </c>
      <c r="C139" s="1">
        <v>1.89</v>
      </c>
      <c r="D139" s="1">
        <f t="shared" si="4"/>
        <v>1</v>
      </c>
      <c r="E139" s="1" t="str">
        <f>VLOOKUP(D139,'Level Key'!$A$1:$B$7,2,FALSE)</f>
        <v>beginner</v>
      </c>
      <c r="F139" s="1" t="s">
        <v>133</v>
      </c>
      <c r="G139" s="2">
        <v>45957</v>
      </c>
      <c r="H139" s="1">
        <v>153</v>
      </c>
      <c r="I139" s="1">
        <f t="shared" si="5"/>
        <v>3</v>
      </c>
      <c r="J139" s="1">
        <f>LEN(Table1[[#This Row],[Final_Word]])</f>
        <v>8</v>
      </c>
    </row>
    <row r="140" spans="1:10" x14ac:dyDescent="0.2">
      <c r="A140" s="1" t="s">
        <v>263</v>
      </c>
      <c r="B140" s="1" t="s">
        <v>264</v>
      </c>
      <c r="C140" s="1">
        <v>1.89</v>
      </c>
      <c r="D140" s="1">
        <f t="shared" si="4"/>
        <v>1</v>
      </c>
      <c r="E140" s="1" t="str">
        <f>VLOOKUP(D140,'Level Key'!$A$1:$B$7,2,FALSE)</f>
        <v>beginner</v>
      </c>
      <c r="F140" s="1" t="s">
        <v>133</v>
      </c>
      <c r="G140" s="2">
        <v>45958</v>
      </c>
      <c r="H140" s="1">
        <v>154</v>
      </c>
      <c r="I140" s="1">
        <f t="shared" si="5"/>
        <v>4</v>
      </c>
      <c r="J140" s="1">
        <f>LEN(Table1[[#This Row],[Final_Word]])</f>
        <v>8</v>
      </c>
    </row>
    <row r="141" spans="1:10" x14ac:dyDescent="0.2">
      <c r="A141" s="1" t="s">
        <v>265</v>
      </c>
      <c r="B141" s="1" t="s">
        <v>266</v>
      </c>
      <c r="C141" s="1">
        <v>1.88</v>
      </c>
      <c r="D141" s="1">
        <f t="shared" si="4"/>
        <v>1</v>
      </c>
      <c r="E141" s="1" t="str">
        <f>VLOOKUP(D141,'Level Key'!$A$1:$B$7,2,FALSE)</f>
        <v>beginner</v>
      </c>
      <c r="F141" s="1" t="s">
        <v>133</v>
      </c>
      <c r="G141" s="2">
        <v>45959</v>
      </c>
      <c r="H141" s="1">
        <v>155</v>
      </c>
      <c r="I141" s="1">
        <f t="shared" si="5"/>
        <v>4</v>
      </c>
      <c r="J141" s="1">
        <f>LEN(Table1[[#This Row],[Final_Word]])</f>
        <v>8</v>
      </c>
    </row>
    <row r="142" spans="1:10" x14ac:dyDescent="0.2">
      <c r="A142" s="1" t="s">
        <v>267</v>
      </c>
      <c r="B142" s="1" t="s">
        <v>268</v>
      </c>
      <c r="C142" s="1">
        <v>1.9</v>
      </c>
      <c r="D142" s="1">
        <f t="shared" si="4"/>
        <v>1</v>
      </c>
      <c r="E142" s="1" t="str">
        <f>VLOOKUP(D142,'Level Key'!$A$1:$B$7,2,FALSE)</f>
        <v>beginner</v>
      </c>
      <c r="F142" s="1" t="s">
        <v>133</v>
      </c>
      <c r="G142" s="2">
        <v>45960</v>
      </c>
      <c r="H142" s="1">
        <v>156</v>
      </c>
      <c r="I142" s="1">
        <f t="shared" si="5"/>
        <v>3</v>
      </c>
      <c r="J142" s="1">
        <f>LEN(Table1[[#This Row],[Final_Word]])</f>
        <v>7</v>
      </c>
    </row>
    <row r="143" spans="1:10" x14ac:dyDescent="0.2">
      <c r="A143" s="1" t="s">
        <v>269</v>
      </c>
      <c r="B143" s="1" t="s">
        <v>270</v>
      </c>
      <c r="C143" s="1">
        <v>2.1110000000000002</v>
      </c>
      <c r="D143" s="1">
        <f t="shared" si="4"/>
        <v>2</v>
      </c>
      <c r="E143" s="1" t="str">
        <f>VLOOKUP(D143,'Level Key'!$A$1:$B$7,2,FALSE)</f>
        <v>novice</v>
      </c>
      <c r="F143" s="1" t="s">
        <v>133</v>
      </c>
      <c r="G143" s="2">
        <v>45961</v>
      </c>
      <c r="H143" s="1">
        <v>157</v>
      </c>
      <c r="I143" s="1">
        <f t="shared" si="5"/>
        <v>4</v>
      </c>
      <c r="J143" s="1">
        <f>LEN(Table1[[#This Row],[Final_Word]])</f>
        <v>8</v>
      </c>
    </row>
    <row r="144" spans="1:10" x14ac:dyDescent="0.2">
      <c r="A144" s="1" t="s">
        <v>271</v>
      </c>
      <c r="B144" s="1" t="s">
        <v>272</v>
      </c>
      <c r="C144" s="1">
        <v>2.0099999999999998</v>
      </c>
      <c r="D144" s="1">
        <f t="shared" si="4"/>
        <v>2</v>
      </c>
      <c r="E144" s="1" t="str">
        <f>VLOOKUP(D144,'Level Key'!$A$1:$B$7,2,FALSE)</f>
        <v>novice</v>
      </c>
      <c r="F144" s="1" t="s">
        <v>133</v>
      </c>
      <c r="G144" s="2">
        <v>45962</v>
      </c>
      <c r="H144" s="1">
        <v>158</v>
      </c>
      <c r="I144" s="1">
        <f t="shared" si="5"/>
        <v>3</v>
      </c>
      <c r="J144" s="1">
        <f>LEN(Table1[[#This Row],[Final_Word]])</f>
        <v>6</v>
      </c>
    </row>
    <row r="145" spans="1:10" x14ac:dyDescent="0.2">
      <c r="A145" s="1" t="s">
        <v>273</v>
      </c>
      <c r="B145" s="1" t="s">
        <v>274</v>
      </c>
      <c r="C145" s="1">
        <v>2.4500000000000002</v>
      </c>
      <c r="D145" s="1">
        <f t="shared" si="4"/>
        <v>2</v>
      </c>
      <c r="E145" s="1" t="str">
        <f>VLOOKUP(D145,'Level Key'!$A$1:$B$7,2,FALSE)</f>
        <v>novice</v>
      </c>
      <c r="F145" s="1" t="s">
        <v>133</v>
      </c>
      <c r="G145" s="2">
        <v>45963</v>
      </c>
      <c r="H145" s="1">
        <v>159</v>
      </c>
      <c r="I145" s="1">
        <f t="shared" si="5"/>
        <v>4</v>
      </c>
      <c r="J145" s="1">
        <f>LEN(Table1[[#This Row],[Final_Word]])</f>
        <v>9</v>
      </c>
    </row>
    <row r="146" spans="1:10" x14ac:dyDescent="0.2">
      <c r="A146" s="1" t="s">
        <v>275</v>
      </c>
      <c r="B146" s="1" t="s">
        <v>276</v>
      </c>
      <c r="C146" s="1">
        <v>2.67</v>
      </c>
      <c r="D146" s="1">
        <f t="shared" si="4"/>
        <v>2</v>
      </c>
      <c r="E146" s="1" t="str">
        <f>VLOOKUP(D146,'Level Key'!$A$1:$B$7,2,FALSE)</f>
        <v>novice</v>
      </c>
      <c r="F146" s="1" t="s">
        <v>133</v>
      </c>
      <c r="G146" s="2">
        <v>45964</v>
      </c>
      <c r="H146" s="1">
        <v>160</v>
      </c>
      <c r="I146" s="1">
        <f t="shared" si="5"/>
        <v>4</v>
      </c>
      <c r="J146" s="1">
        <f>LEN(Table1[[#This Row],[Final_Word]])</f>
        <v>8</v>
      </c>
    </row>
    <row r="147" spans="1:10" x14ac:dyDescent="0.2">
      <c r="A147" s="1" t="s">
        <v>277</v>
      </c>
      <c r="B147" s="1" t="s">
        <v>278</v>
      </c>
      <c r="C147" s="1">
        <v>3.01</v>
      </c>
      <c r="D147" s="1">
        <f t="shared" si="4"/>
        <v>3</v>
      </c>
      <c r="E147" s="1" t="str">
        <f>VLOOKUP(D147,'Level Key'!$A$1:$B$7,2,FALSE)</f>
        <v>expert</v>
      </c>
      <c r="F147" s="1" t="s">
        <v>133</v>
      </c>
      <c r="G147" s="2">
        <v>45965</v>
      </c>
      <c r="H147" s="1">
        <v>161</v>
      </c>
      <c r="I147" s="1">
        <f t="shared" si="5"/>
        <v>4</v>
      </c>
      <c r="J147" s="1">
        <f>LEN(Table1[[#This Row],[Final_Word]])</f>
        <v>9</v>
      </c>
    </row>
    <row r="148" spans="1:10" x14ac:dyDescent="0.2">
      <c r="A148" s="1" t="s">
        <v>279</v>
      </c>
      <c r="B148" s="1" t="s">
        <v>280</v>
      </c>
      <c r="C148" s="1">
        <v>3.02</v>
      </c>
      <c r="D148" s="1">
        <f t="shared" si="4"/>
        <v>3</v>
      </c>
      <c r="E148" s="1" t="str">
        <f>VLOOKUP(D148,'Level Key'!$A$1:$B$7,2,FALSE)</f>
        <v>expert</v>
      </c>
      <c r="F148" s="1" t="s">
        <v>133</v>
      </c>
      <c r="G148" s="2">
        <v>45966</v>
      </c>
      <c r="H148" s="1">
        <v>162</v>
      </c>
      <c r="I148" s="1">
        <f t="shared" si="5"/>
        <v>6</v>
      </c>
      <c r="J148" s="1">
        <f>LEN(Table1[[#This Row],[Final_Word]])</f>
        <v>10</v>
      </c>
    </row>
    <row r="149" spans="1:10" x14ac:dyDescent="0.2">
      <c r="A149" s="1" t="s">
        <v>281</v>
      </c>
      <c r="B149" s="1" t="s">
        <v>43</v>
      </c>
      <c r="C149" s="1">
        <v>2.23</v>
      </c>
      <c r="D149" s="1">
        <f t="shared" si="4"/>
        <v>2</v>
      </c>
      <c r="E149" s="1" t="str">
        <f>VLOOKUP(D149,'Level Key'!$A$1:$B$7,2,FALSE)</f>
        <v>novice</v>
      </c>
      <c r="F149" s="1" t="s">
        <v>133</v>
      </c>
      <c r="G149" s="2">
        <v>45967</v>
      </c>
      <c r="H149" s="1">
        <v>163</v>
      </c>
      <c r="I149" s="1">
        <f t="shared" si="5"/>
        <v>4</v>
      </c>
      <c r="J149" s="1">
        <f>LEN(Table1[[#This Row],[Final_Word]])</f>
        <v>8</v>
      </c>
    </row>
    <row r="150" spans="1:10" x14ac:dyDescent="0.2">
      <c r="A150" s="1" t="s">
        <v>282</v>
      </c>
      <c r="B150" s="1" t="s">
        <v>283</v>
      </c>
      <c r="C150" s="1">
        <v>3.56</v>
      </c>
      <c r="D150" s="1">
        <f t="shared" si="4"/>
        <v>3</v>
      </c>
      <c r="E150" s="1" t="str">
        <f>VLOOKUP(D150,'Level Key'!$A$1:$B$7,2,FALSE)</f>
        <v>expert</v>
      </c>
      <c r="F150" s="1" t="s">
        <v>133</v>
      </c>
      <c r="G150" s="2">
        <v>45968</v>
      </c>
      <c r="H150" s="1">
        <v>164</v>
      </c>
      <c r="I150" s="1">
        <f t="shared" si="5"/>
        <v>4</v>
      </c>
      <c r="J150" s="1">
        <f>LEN(Table1[[#This Row],[Final_Word]])</f>
        <v>10</v>
      </c>
    </row>
    <row r="151" spans="1:10" x14ac:dyDescent="0.2">
      <c r="A151" s="1" t="s">
        <v>284</v>
      </c>
      <c r="B151" s="1" t="s">
        <v>285</v>
      </c>
      <c r="C151" s="1">
        <v>3.1</v>
      </c>
      <c r="D151" s="1">
        <f t="shared" si="4"/>
        <v>3</v>
      </c>
      <c r="E151" s="1" t="str">
        <f>VLOOKUP(D151,'Level Key'!$A$1:$B$7,2,FALSE)</f>
        <v>expert</v>
      </c>
      <c r="F151" s="1" t="s">
        <v>133</v>
      </c>
      <c r="G151" s="2">
        <v>45969</v>
      </c>
      <c r="H151" s="1">
        <v>165</v>
      </c>
      <c r="I151" s="1">
        <f t="shared" si="5"/>
        <v>4</v>
      </c>
      <c r="J151" s="1">
        <f>LEN(Table1[[#This Row],[Final_Word]])</f>
        <v>9</v>
      </c>
    </row>
    <row r="152" spans="1:10" x14ac:dyDescent="0.2">
      <c r="A152" s="1" t="s">
        <v>286</v>
      </c>
      <c r="B152" s="1" t="s">
        <v>287</v>
      </c>
      <c r="C152" s="1">
        <v>2.82</v>
      </c>
      <c r="D152" s="1">
        <f t="shared" si="4"/>
        <v>2</v>
      </c>
      <c r="E152" s="1" t="str">
        <f>VLOOKUP(D152,'Level Key'!$A$1:$B$7,2,FALSE)</f>
        <v>novice</v>
      </c>
      <c r="F152" s="1" t="s">
        <v>133</v>
      </c>
      <c r="G152" s="2">
        <v>45970</v>
      </c>
      <c r="H152" s="1">
        <v>166</v>
      </c>
      <c r="I152" s="1">
        <f t="shared" si="5"/>
        <v>4</v>
      </c>
      <c r="J152" s="1">
        <f>LEN(Table1[[#This Row],[Final_Word]])</f>
        <v>8</v>
      </c>
    </row>
    <row r="153" spans="1:10" x14ac:dyDescent="0.2">
      <c r="A153" s="1" t="s">
        <v>55</v>
      </c>
      <c r="B153" s="1" t="s">
        <v>288</v>
      </c>
      <c r="C153" s="1">
        <v>1.9119999999999999</v>
      </c>
      <c r="D153" s="1">
        <f t="shared" si="4"/>
        <v>1</v>
      </c>
      <c r="E153" s="1" t="str">
        <f>VLOOKUP(D153,'Level Key'!$A$1:$B$7,2,FALSE)</f>
        <v>beginner</v>
      </c>
      <c r="F153" s="1" t="s">
        <v>133</v>
      </c>
      <c r="G153" s="2">
        <v>45971</v>
      </c>
      <c r="H153" s="1">
        <v>167</v>
      </c>
      <c r="I153" s="1">
        <f t="shared" si="5"/>
        <v>3</v>
      </c>
      <c r="J153" s="1">
        <f>LEN(Table1[[#This Row],[Final_Word]])</f>
        <v>8</v>
      </c>
    </row>
    <row r="154" spans="1:10" x14ac:dyDescent="0.2">
      <c r="A154" s="1" t="s">
        <v>289</v>
      </c>
      <c r="B154" s="1" t="s">
        <v>290</v>
      </c>
      <c r="C154" s="1">
        <v>3.1110000000000002</v>
      </c>
      <c r="D154" s="1">
        <f t="shared" si="4"/>
        <v>3</v>
      </c>
      <c r="E154" s="1" t="str">
        <f>VLOOKUP(D154,'Level Key'!$A$1:$B$7,2,FALSE)</f>
        <v>expert</v>
      </c>
      <c r="F154" s="1" t="s">
        <v>133</v>
      </c>
      <c r="G154" s="2">
        <v>45972</v>
      </c>
      <c r="H154" s="1">
        <v>168</v>
      </c>
      <c r="I154" s="1">
        <f t="shared" si="5"/>
        <v>7</v>
      </c>
      <c r="J154" s="1">
        <f>LEN(Table1[[#This Row],[Final_Word]])</f>
        <v>11</v>
      </c>
    </row>
    <row r="155" spans="1:10" x14ac:dyDescent="0.2">
      <c r="A155" s="1" t="s">
        <v>291</v>
      </c>
      <c r="B155" s="1" t="s">
        <v>292</v>
      </c>
      <c r="C155" s="1">
        <v>3.4</v>
      </c>
      <c r="D155" s="1">
        <f t="shared" si="4"/>
        <v>3</v>
      </c>
      <c r="E155" s="1" t="str">
        <f>VLOOKUP(D155,'Level Key'!$A$1:$B$7,2,FALSE)</f>
        <v>expert</v>
      </c>
      <c r="F155" s="1" t="s">
        <v>133</v>
      </c>
      <c r="G155" s="2">
        <v>45973</v>
      </c>
      <c r="H155" s="1">
        <v>169</v>
      </c>
      <c r="I155" s="1">
        <f t="shared" si="5"/>
        <v>4</v>
      </c>
      <c r="J155" s="1">
        <f>LEN(Table1[[#This Row],[Final_Word]])</f>
        <v>10</v>
      </c>
    </row>
    <row r="156" spans="1:10" x14ac:dyDescent="0.2">
      <c r="A156" s="1" t="s">
        <v>30</v>
      </c>
      <c r="B156" s="1" t="s">
        <v>293</v>
      </c>
      <c r="C156" s="1">
        <v>2.7650000000000001</v>
      </c>
      <c r="D156" s="1">
        <f t="shared" si="4"/>
        <v>2</v>
      </c>
      <c r="E156" s="1" t="str">
        <f>VLOOKUP(D156,'Level Key'!$A$1:$B$7,2,FALSE)</f>
        <v>novice</v>
      </c>
      <c r="F156" s="1" t="s">
        <v>133</v>
      </c>
      <c r="G156" s="2">
        <v>45974</v>
      </c>
      <c r="H156" s="1">
        <v>170</v>
      </c>
      <c r="I156" s="1">
        <f t="shared" si="5"/>
        <v>2</v>
      </c>
      <c r="J156" s="1">
        <f>LEN(Table1[[#This Row],[Final_Word]])</f>
        <v>7</v>
      </c>
    </row>
    <row r="157" spans="1:10" x14ac:dyDescent="0.2">
      <c r="A157" s="1" t="s">
        <v>294</v>
      </c>
      <c r="B157" s="1" t="s">
        <v>295</v>
      </c>
      <c r="C157" s="1">
        <v>2.31</v>
      </c>
      <c r="D157" s="1">
        <f t="shared" si="4"/>
        <v>2</v>
      </c>
      <c r="E157" s="1" t="str">
        <f>VLOOKUP(D157,'Level Key'!$A$1:$B$7,2,FALSE)</f>
        <v>novice</v>
      </c>
      <c r="F157" s="1" t="s">
        <v>133</v>
      </c>
      <c r="G157" s="2">
        <v>45975</v>
      </c>
      <c r="H157" s="1">
        <v>171</v>
      </c>
      <c r="I157" s="1">
        <f t="shared" si="5"/>
        <v>7</v>
      </c>
      <c r="J157" s="1">
        <f>LEN(Table1[[#This Row],[Final_Word]])</f>
        <v>10</v>
      </c>
    </row>
    <row r="158" spans="1:10" x14ac:dyDescent="0.2">
      <c r="A158" s="1" t="s">
        <v>296</v>
      </c>
      <c r="B158" s="1" t="s">
        <v>297</v>
      </c>
      <c r="C158" s="1">
        <v>4.3439569999999996</v>
      </c>
      <c r="D158" s="1">
        <f t="shared" si="4"/>
        <v>4</v>
      </c>
      <c r="E158" s="1" t="str">
        <f>VLOOKUP(D158,'Level Key'!$A$1:$B$7,2,FALSE)</f>
        <v>wordsmith</v>
      </c>
      <c r="F158" s="1" t="s">
        <v>133</v>
      </c>
      <c r="G158" s="2">
        <v>45976</v>
      </c>
      <c r="H158" s="1">
        <v>172</v>
      </c>
      <c r="I158" s="1">
        <f t="shared" si="5"/>
        <v>4</v>
      </c>
      <c r="J158" s="1">
        <f>LEN(Table1[[#This Row],[Final_Word]])</f>
        <v>10</v>
      </c>
    </row>
    <row r="159" spans="1:10" x14ac:dyDescent="0.2">
      <c r="A159" s="1" t="s">
        <v>298</v>
      </c>
      <c r="B159" s="1" t="s">
        <v>299</v>
      </c>
      <c r="C159" s="1">
        <v>1.3</v>
      </c>
      <c r="D159" s="1">
        <f t="shared" si="4"/>
        <v>1</v>
      </c>
      <c r="E159" s="1" t="str">
        <f>VLOOKUP(D159,'Level Key'!$A$1:$B$7,2,FALSE)</f>
        <v>beginner</v>
      </c>
      <c r="F159" s="1" t="s">
        <v>133</v>
      </c>
      <c r="G159" s="2">
        <v>45977</v>
      </c>
      <c r="H159" s="1">
        <v>173</v>
      </c>
      <c r="I159" s="1">
        <f t="shared" si="5"/>
        <v>3</v>
      </c>
      <c r="J159" s="1">
        <f>LEN(Table1[[#This Row],[Final_Word]])</f>
        <v>7</v>
      </c>
    </row>
    <row r="160" spans="1:10" x14ac:dyDescent="0.2">
      <c r="A160" s="1" t="s">
        <v>300</v>
      </c>
      <c r="B160" s="1" t="s">
        <v>301</v>
      </c>
      <c r="C160" s="1">
        <v>1.65</v>
      </c>
      <c r="D160" s="1">
        <f t="shared" si="4"/>
        <v>1</v>
      </c>
      <c r="E160" s="1" t="str">
        <f>VLOOKUP(D160,'Level Key'!$A$1:$B$7,2,FALSE)</f>
        <v>beginner</v>
      </c>
      <c r="F160" s="1" t="s">
        <v>133</v>
      </c>
      <c r="G160" s="2">
        <v>45978</v>
      </c>
      <c r="H160" s="1">
        <v>174</v>
      </c>
      <c r="I160" s="1">
        <f t="shared" si="5"/>
        <v>3</v>
      </c>
      <c r="J160" s="1">
        <f>LEN(Table1[[#This Row],[Final_Word]])</f>
        <v>8</v>
      </c>
    </row>
    <row r="161" spans="1:10" x14ac:dyDescent="0.2">
      <c r="A161" s="1" t="s">
        <v>302</v>
      </c>
      <c r="B161" s="1" t="s">
        <v>303</v>
      </c>
      <c r="C161" s="1">
        <v>2.8</v>
      </c>
      <c r="D161" s="1">
        <f t="shared" si="4"/>
        <v>2</v>
      </c>
      <c r="E161" s="1" t="str">
        <f>VLOOKUP(D161,'Level Key'!$A$1:$B$7,2,FALSE)</f>
        <v>novice</v>
      </c>
      <c r="F161" s="1" t="s">
        <v>133</v>
      </c>
      <c r="G161" s="2">
        <v>45979</v>
      </c>
      <c r="H161" s="1">
        <v>175</v>
      </c>
      <c r="I161" s="1">
        <f t="shared" si="5"/>
        <v>2</v>
      </c>
      <c r="J161" s="1">
        <f>LEN(Table1[[#This Row],[Final_Word]])</f>
        <v>6</v>
      </c>
    </row>
    <row r="162" spans="1:10" x14ac:dyDescent="0.2">
      <c r="A162" s="1" t="s">
        <v>304</v>
      </c>
      <c r="B162" s="1" t="s">
        <v>305</v>
      </c>
      <c r="C162" s="1">
        <v>3.0000100000000001</v>
      </c>
      <c r="D162" s="1">
        <f t="shared" si="4"/>
        <v>3</v>
      </c>
      <c r="E162" s="1" t="str">
        <f>VLOOKUP(D162,'Level Key'!$A$1:$B$7,2,FALSE)</f>
        <v>expert</v>
      </c>
      <c r="F162" s="1" t="s">
        <v>133</v>
      </c>
      <c r="G162" s="2">
        <v>45980</v>
      </c>
      <c r="H162" s="1">
        <v>176</v>
      </c>
      <c r="I162" s="1">
        <f t="shared" si="5"/>
        <v>4</v>
      </c>
      <c r="J162" s="1">
        <f>LEN(Table1[[#This Row],[Final_Word]])</f>
        <v>9</v>
      </c>
    </row>
    <row r="163" spans="1:10" x14ac:dyDescent="0.2">
      <c r="A163" s="1" t="s">
        <v>306</v>
      </c>
      <c r="B163" s="1" t="s">
        <v>307</v>
      </c>
      <c r="C163" s="1">
        <v>2.98</v>
      </c>
      <c r="D163" s="1">
        <f t="shared" si="4"/>
        <v>2</v>
      </c>
      <c r="E163" s="1" t="str">
        <f>VLOOKUP(D163,'Level Key'!$A$1:$B$7,2,FALSE)</f>
        <v>novice</v>
      </c>
      <c r="F163" s="1" t="s">
        <v>133</v>
      </c>
      <c r="G163" s="2">
        <v>45981</v>
      </c>
      <c r="H163" s="1">
        <v>177</v>
      </c>
      <c r="I163" s="1">
        <f t="shared" si="5"/>
        <v>3</v>
      </c>
      <c r="J163" s="1">
        <f>LEN(Table1[[#This Row],[Final_Word]])</f>
        <v>9</v>
      </c>
    </row>
    <row r="164" spans="1:10" x14ac:dyDescent="0.2">
      <c r="A164" s="1" t="s">
        <v>308</v>
      </c>
      <c r="B164" s="1" t="s">
        <v>309</v>
      </c>
      <c r="C164" s="1">
        <v>1.643</v>
      </c>
      <c r="D164" s="1">
        <f t="shared" si="4"/>
        <v>1</v>
      </c>
      <c r="E164" s="1" t="str">
        <f>VLOOKUP(D164,'Level Key'!$A$1:$B$7,2,FALSE)</f>
        <v>beginner</v>
      </c>
      <c r="F164" s="1" t="s">
        <v>133</v>
      </c>
      <c r="G164" s="2">
        <v>45982</v>
      </c>
      <c r="H164" s="1">
        <v>178</v>
      </c>
      <c r="I164" s="1">
        <f t="shared" si="5"/>
        <v>4</v>
      </c>
      <c r="J164" s="1">
        <f>LEN(Table1[[#This Row],[Final_Word]])</f>
        <v>7</v>
      </c>
    </row>
    <row r="165" spans="1:10" x14ac:dyDescent="0.2">
      <c r="A165" s="1" t="s">
        <v>310</v>
      </c>
      <c r="B165" s="1" t="s">
        <v>14</v>
      </c>
      <c r="C165" s="1">
        <v>2.23</v>
      </c>
      <c r="D165" s="1">
        <f t="shared" si="4"/>
        <v>2</v>
      </c>
      <c r="E165" s="1" t="str">
        <f>VLOOKUP(D165,'Level Key'!$A$1:$B$7,2,FALSE)</f>
        <v>novice</v>
      </c>
      <c r="F165" s="1" t="s">
        <v>133</v>
      </c>
      <c r="G165" s="2">
        <v>45983</v>
      </c>
      <c r="H165" s="1">
        <v>179</v>
      </c>
      <c r="I165" s="1">
        <f t="shared" si="5"/>
        <v>4</v>
      </c>
      <c r="J165" s="1">
        <f>LEN(Table1[[#This Row],[Final_Word]])</f>
        <v>8</v>
      </c>
    </row>
    <row r="166" spans="1:10" x14ac:dyDescent="0.2">
      <c r="A166" s="1" t="s">
        <v>13</v>
      </c>
      <c r="B166" s="1" t="s">
        <v>311</v>
      </c>
      <c r="C166" s="1">
        <v>1.27</v>
      </c>
      <c r="D166" s="1">
        <f t="shared" si="4"/>
        <v>1</v>
      </c>
      <c r="E166" s="1" t="str">
        <f>VLOOKUP(D166,'Level Key'!$A$1:$B$7,2,FALSE)</f>
        <v>beginner</v>
      </c>
      <c r="F166" s="1" t="s">
        <v>133</v>
      </c>
      <c r="G166" s="2">
        <v>45984</v>
      </c>
      <c r="H166" s="1">
        <v>180</v>
      </c>
      <c r="I166" s="1">
        <f t="shared" si="5"/>
        <v>2</v>
      </c>
      <c r="J166" s="1">
        <f>LEN(Table1[[#This Row],[Final_Word]])</f>
        <v>6</v>
      </c>
    </row>
    <row r="167" spans="1:10" x14ac:dyDescent="0.2">
      <c r="A167" s="1" t="s">
        <v>312</v>
      </c>
      <c r="B167" s="1" t="s">
        <v>313</v>
      </c>
      <c r="C167" s="1">
        <v>1.9809000000000001</v>
      </c>
      <c r="D167" s="1">
        <f t="shared" si="4"/>
        <v>1</v>
      </c>
      <c r="E167" s="1" t="str">
        <f>VLOOKUP(D167,'Level Key'!$A$1:$B$7,2,FALSE)</f>
        <v>beginner</v>
      </c>
      <c r="F167" s="1" t="s">
        <v>133</v>
      </c>
      <c r="G167" s="2">
        <v>45985</v>
      </c>
      <c r="H167" s="1">
        <v>181</v>
      </c>
      <c r="I167" s="1">
        <f t="shared" si="5"/>
        <v>3</v>
      </c>
      <c r="J167" s="1">
        <f>LEN(Table1[[#This Row],[Final_Word]])</f>
        <v>7</v>
      </c>
    </row>
    <row r="168" spans="1:10" x14ac:dyDescent="0.2">
      <c r="A168" s="1" t="s">
        <v>314</v>
      </c>
      <c r="B168" s="1" t="s">
        <v>315</v>
      </c>
      <c r="C168" s="1">
        <v>3.3100999999999998</v>
      </c>
      <c r="D168" s="1">
        <f t="shared" si="4"/>
        <v>3</v>
      </c>
      <c r="E168" s="1" t="str">
        <f>VLOOKUP(D168,'Level Key'!$A$1:$B$7,2,FALSE)</f>
        <v>expert</v>
      </c>
      <c r="F168" s="1" t="s">
        <v>133</v>
      </c>
      <c r="G168" s="2">
        <v>45986</v>
      </c>
      <c r="H168" s="1">
        <v>182</v>
      </c>
      <c r="I168" s="1">
        <f t="shared" si="5"/>
        <v>4</v>
      </c>
      <c r="J168" s="1">
        <f>LEN(Table1[[#This Row],[Final_Word]])</f>
        <v>9</v>
      </c>
    </row>
    <row r="169" spans="1:10" x14ac:dyDescent="0.2">
      <c r="A169" s="1" t="s">
        <v>7</v>
      </c>
      <c r="B169" s="1" t="s">
        <v>316</v>
      </c>
      <c r="C169" s="1">
        <v>1.84</v>
      </c>
      <c r="D169" s="1">
        <f t="shared" si="4"/>
        <v>1</v>
      </c>
      <c r="E169" s="1" t="str">
        <f>VLOOKUP(D169,'Level Key'!$A$1:$B$7,2,FALSE)</f>
        <v>beginner</v>
      </c>
      <c r="F169" s="1" t="s">
        <v>133</v>
      </c>
      <c r="G169" s="2">
        <v>45987</v>
      </c>
      <c r="H169" s="1">
        <v>183</v>
      </c>
      <c r="I169" s="1">
        <f t="shared" si="5"/>
        <v>2</v>
      </c>
      <c r="J169" s="1">
        <f>LEN(Table1[[#This Row],[Final_Word]])</f>
        <v>7</v>
      </c>
    </row>
    <row r="170" spans="1:10" x14ac:dyDescent="0.2">
      <c r="A170" s="1" t="s">
        <v>317</v>
      </c>
      <c r="B170" s="1" t="s">
        <v>8</v>
      </c>
      <c r="C170" s="1">
        <v>4.8</v>
      </c>
      <c r="D170" s="1">
        <f t="shared" si="4"/>
        <v>4</v>
      </c>
      <c r="E170" s="1" t="str">
        <f>VLOOKUP(D170,'Level Key'!$A$1:$B$7,2,FALSE)</f>
        <v>wordsmith</v>
      </c>
      <c r="F170" s="1" t="s">
        <v>133</v>
      </c>
      <c r="G170" s="2">
        <v>45988</v>
      </c>
      <c r="H170" s="1">
        <v>184</v>
      </c>
      <c r="I170" s="1">
        <f t="shared" si="5"/>
        <v>5</v>
      </c>
      <c r="J170" s="1">
        <f>LEN(Table1[[#This Row],[Final_Word]])</f>
        <v>11</v>
      </c>
    </row>
    <row r="171" spans="1:10" x14ac:dyDescent="0.2">
      <c r="A171" s="1" t="s">
        <v>322</v>
      </c>
      <c r="B171" s="1" t="s">
        <v>323</v>
      </c>
      <c r="C171" s="1">
        <v>3.6</v>
      </c>
      <c r="D171" s="1">
        <f t="shared" si="4"/>
        <v>3</v>
      </c>
      <c r="E171" s="1" t="str">
        <f>VLOOKUP(D171,'Level Key'!$A$1:$B$7,2,FALSE)</f>
        <v>expert</v>
      </c>
      <c r="F171" s="1" t="s">
        <v>133</v>
      </c>
      <c r="G171" s="2">
        <v>45989</v>
      </c>
      <c r="H171" s="1">
        <v>187</v>
      </c>
      <c r="I171" s="1">
        <f t="shared" si="5"/>
        <v>5</v>
      </c>
      <c r="J171" s="1">
        <f>LEN(Table1[[#This Row],[Final_Word]])</f>
        <v>9</v>
      </c>
    </row>
    <row r="172" spans="1:10" x14ac:dyDescent="0.2">
      <c r="A172" s="1" t="s">
        <v>318</v>
      </c>
      <c r="B172" s="1" t="s">
        <v>319</v>
      </c>
      <c r="C172" s="1">
        <v>2.9</v>
      </c>
      <c r="D172" s="1">
        <f t="shared" si="4"/>
        <v>2</v>
      </c>
      <c r="E172" s="1" t="str">
        <f>VLOOKUP(D172,'Level Key'!$A$1:$B$7,2,FALSE)</f>
        <v>novice</v>
      </c>
      <c r="F172" s="1" t="s">
        <v>133</v>
      </c>
      <c r="G172" s="2">
        <v>45990</v>
      </c>
      <c r="H172" s="1">
        <v>185</v>
      </c>
      <c r="I172" s="1">
        <f t="shared" si="5"/>
        <v>4</v>
      </c>
      <c r="J172" s="1">
        <f>LEN(Table1[[#This Row],[Final_Word]])</f>
        <v>9</v>
      </c>
    </row>
    <row r="173" spans="1:10" x14ac:dyDescent="0.2">
      <c r="A173" s="1" t="s">
        <v>320</v>
      </c>
      <c r="B173" s="1" t="s">
        <v>321</v>
      </c>
      <c r="C173" s="1">
        <v>3.34</v>
      </c>
      <c r="D173" s="1">
        <f t="shared" si="4"/>
        <v>3</v>
      </c>
      <c r="E173" s="1" t="str">
        <f>VLOOKUP(D173,'Level Key'!$A$1:$B$7,2,FALSE)</f>
        <v>expert</v>
      </c>
      <c r="F173" s="1" t="s">
        <v>133</v>
      </c>
      <c r="G173" s="2">
        <v>45991</v>
      </c>
      <c r="H173" s="1">
        <v>186</v>
      </c>
      <c r="I173" s="1">
        <f t="shared" si="5"/>
        <v>3</v>
      </c>
      <c r="J173" s="1">
        <f>LEN(Table1[[#This Row],[Final_Word]])</f>
        <v>9</v>
      </c>
    </row>
    <row r="174" spans="1:10" x14ac:dyDescent="0.2">
      <c r="A174" s="1" t="s">
        <v>342</v>
      </c>
      <c r="B174" s="1" t="s">
        <v>343</v>
      </c>
      <c r="C174" s="1">
        <v>3.1419999999999999</v>
      </c>
      <c r="D174" s="1">
        <f t="shared" si="4"/>
        <v>3</v>
      </c>
      <c r="E174" s="1" t="str">
        <f>VLOOKUP(D174,'Level Key'!$A$1:$B$7,2,FALSE)</f>
        <v>expert</v>
      </c>
      <c r="F174" s="1" t="s">
        <v>133</v>
      </c>
      <c r="G174" s="2">
        <v>45992</v>
      </c>
      <c r="H174" s="1">
        <v>193</v>
      </c>
      <c r="I174" s="1">
        <f t="shared" si="5"/>
        <v>4</v>
      </c>
      <c r="J174" s="1">
        <f>LEN(Table1[[#This Row],[Final_Word]])</f>
        <v>9</v>
      </c>
    </row>
    <row r="175" spans="1:10" x14ac:dyDescent="0.2">
      <c r="A175" s="1" t="s">
        <v>338</v>
      </c>
      <c r="B175" s="1" t="s">
        <v>339</v>
      </c>
      <c r="C175" s="1">
        <v>2.8441999999999998</v>
      </c>
      <c r="D175" s="1">
        <f t="shared" si="4"/>
        <v>2</v>
      </c>
      <c r="E175" s="1" t="str">
        <f>VLOOKUP(D175,'Level Key'!$A$1:$B$7,2,FALSE)</f>
        <v>novice</v>
      </c>
      <c r="F175" s="1" t="s">
        <v>133</v>
      </c>
      <c r="G175" s="2">
        <v>45993</v>
      </c>
      <c r="H175" s="1">
        <v>191</v>
      </c>
      <c r="I175" s="1">
        <f t="shared" si="5"/>
        <v>4</v>
      </c>
      <c r="J175" s="1">
        <f>LEN(Table1[[#This Row],[Final_Word]])</f>
        <v>9</v>
      </c>
    </row>
    <row r="176" spans="1:10" x14ac:dyDescent="0.2">
      <c r="A176" s="1" t="s">
        <v>340</v>
      </c>
      <c r="B176" s="1" t="s">
        <v>341</v>
      </c>
      <c r="C176" s="1">
        <v>2.61</v>
      </c>
      <c r="D176" s="1">
        <f t="shared" si="4"/>
        <v>2</v>
      </c>
      <c r="E176" s="1" t="str">
        <f>VLOOKUP(D176,'Level Key'!$A$1:$B$7,2,FALSE)</f>
        <v>novice</v>
      </c>
      <c r="F176" s="1" t="s">
        <v>133</v>
      </c>
      <c r="G176" s="2">
        <v>45994</v>
      </c>
      <c r="H176" s="1">
        <v>192</v>
      </c>
      <c r="I176" s="1">
        <f t="shared" si="5"/>
        <v>4</v>
      </c>
      <c r="J176" s="1">
        <f>LEN(Table1[[#This Row],[Final_Word]])</f>
        <v>8</v>
      </c>
    </row>
    <row r="177" spans="1:10" x14ac:dyDescent="0.2">
      <c r="A177" s="1" t="s">
        <v>344</v>
      </c>
      <c r="B177" s="1" t="s">
        <v>345</v>
      </c>
      <c r="C177" s="1">
        <v>2.3199999999999998</v>
      </c>
      <c r="D177" s="1">
        <f t="shared" si="4"/>
        <v>2</v>
      </c>
      <c r="E177" s="1" t="str">
        <f>VLOOKUP(D177,'Level Key'!$A$1:$B$7,2,FALSE)</f>
        <v>novice</v>
      </c>
      <c r="F177" s="1" t="s">
        <v>133</v>
      </c>
      <c r="G177" s="2">
        <v>45995</v>
      </c>
      <c r="H177" s="1">
        <v>194</v>
      </c>
      <c r="I177" s="1">
        <f t="shared" si="5"/>
        <v>5</v>
      </c>
      <c r="J177" s="1">
        <f>LEN(Table1[[#This Row],[Final_Word]])</f>
        <v>8</v>
      </c>
    </row>
    <row r="178" spans="1:10" x14ac:dyDescent="0.2">
      <c r="A178" s="1" t="s">
        <v>336</v>
      </c>
      <c r="B178" s="1" t="s">
        <v>337</v>
      </c>
      <c r="C178" s="1">
        <v>999.00009999999997</v>
      </c>
      <c r="D178" s="1">
        <f t="shared" si="4"/>
        <v>999</v>
      </c>
      <c r="E178" s="1" t="str">
        <f>VLOOKUP(D178,'Level Key'!$A$1:$B$7,2,FALSE)</f>
        <v>TESTING / LEVEL UNASSIGNED</v>
      </c>
      <c r="F178" s="1" t="s">
        <v>133</v>
      </c>
      <c r="G178" s="2">
        <v>45996</v>
      </c>
      <c r="H178" s="1">
        <v>190</v>
      </c>
      <c r="I178" s="1">
        <f t="shared" si="5"/>
        <v>4</v>
      </c>
      <c r="J178" s="1">
        <f>LEN(Table1[[#This Row],[Final_Word]])</f>
        <v>11</v>
      </c>
    </row>
    <row r="179" spans="1:10" x14ac:dyDescent="0.2">
      <c r="A179" s="1" t="s">
        <v>346</v>
      </c>
      <c r="B179" s="1" t="s">
        <v>347</v>
      </c>
      <c r="C179" s="1">
        <v>999.00019999999995</v>
      </c>
      <c r="D179" s="1">
        <f t="shared" si="4"/>
        <v>999</v>
      </c>
      <c r="E179" s="1" t="str">
        <f>VLOOKUP(D179,'Level Key'!$A$1:$B$7,2,FALSE)</f>
        <v>TESTING / LEVEL UNASSIGNED</v>
      </c>
      <c r="F179" s="1" t="s">
        <v>133</v>
      </c>
      <c r="G179" s="2">
        <v>45997</v>
      </c>
      <c r="H179" s="1">
        <v>195</v>
      </c>
      <c r="I179" s="1">
        <f t="shared" si="5"/>
        <v>4</v>
      </c>
      <c r="J179" s="1">
        <f>LEN(Table1[[#This Row],[Final_Word]])</f>
        <v>8</v>
      </c>
    </row>
    <row r="180" spans="1:10" x14ac:dyDescent="0.2">
      <c r="A180" s="1" t="s">
        <v>348</v>
      </c>
      <c r="B180" s="1" t="s">
        <v>349</v>
      </c>
      <c r="C180" s="1">
        <v>999.00029999999992</v>
      </c>
      <c r="D180" s="1">
        <f t="shared" si="4"/>
        <v>999</v>
      </c>
      <c r="E180" s="1" t="str">
        <f>VLOOKUP(D180,'Level Key'!$A$1:$B$7,2,FALSE)</f>
        <v>TESTING / LEVEL UNASSIGNED</v>
      </c>
      <c r="F180" s="1" t="s">
        <v>133</v>
      </c>
      <c r="G180" s="2">
        <v>45998</v>
      </c>
      <c r="H180" s="1">
        <v>196</v>
      </c>
      <c r="I180" s="1">
        <f t="shared" si="5"/>
        <v>8</v>
      </c>
      <c r="J180" s="1">
        <f>LEN(Table1[[#This Row],[Final_Word]])</f>
        <v>11</v>
      </c>
    </row>
    <row r="181" spans="1:10" x14ac:dyDescent="0.2">
      <c r="A181" s="1" t="s">
        <v>350</v>
      </c>
      <c r="B181" s="1" t="s">
        <v>351</v>
      </c>
      <c r="C181" s="1">
        <v>999.0003999999999</v>
      </c>
      <c r="D181" s="1">
        <f t="shared" si="4"/>
        <v>999</v>
      </c>
      <c r="E181" s="1" t="str">
        <f>VLOOKUP(D181,'Level Key'!$A$1:$B$7,2,FALSE)</f>
        <v>TESTING / LEVEL UNASSIGNED</v>
      </c>
      <c r="F181" s="1" t="s">
        <v>133</v>
      </c>
      <c r="G181" s="2">
        <v>45999</v>
      </c>
      <c r="H181" s="1">
        <v>197</v>
      </c>
      <c r="I181" s="1">
        <f t="shared" si="5"/>
        <v>4</v>
      </c>
      <c r="J181" s="1">
        <f>LEN(Table1[[#This Row],[Final_Word]])</f>
        <v>9</v>
      </c>
    </row>
    <row r="182" spans="1:10" x14ac:dyDescent="0.2">
      <c r="A182" s="1" t="s">
        <v>352</v>
      </c>
      <c r="B182" s="1" t="s">
        <v>353</v>
      </c>
      <c r="C182" s="1">
        <v>999.00049999999987</v>
      </c>
      <c r="D182" s="1">
        <f t="shared" si="4"/>
        <v>999</v>
      </c>
      <c r="E182" s="1" t="str">
        <f>VLOOKUP(D182,'Level Key'!$A$1:$B$7,2,FALSE)</f>
        <v>TESTING / LEVEL UNASSIGNED</v>
      </c>
      <c r="F182" s="1" t="s">
        <v>133</v>
      </c>
      <c r="G182" s="2">
        <v>46000</v>
      </c>
      <c r="H182" s="1">
        <v>198</v>
      </c>
      <c r="I182" s="1">
        <f t="shared" si="5"/>
        <v>3</v>
      </c>
      <c r="J182" s="1">
        <f>LEN(Table1[[#This Row],[Final_Word]])</f>
        <v>7</v>
      </c>
    </row>
    <row r="183" spans="1:10" x14ac:dyDescent="0.2">
      <c r="A183" s="1" t="s">
        <v>332</v>
      </c>
      <c r="B183" s="1" t="s">
        <v>354</v>
      </c>
      <c r="C183" s="1">
        <v>999.00059999999985</v>
      </c>
      <c r="D183" s="1">
        <f t="shared" si="4"/>
        <v>999</v>
      </c>
      <c r="E183" s="1" t="str">
        <f>VLOOKUP(D183,'Level Key'!$A$1:$B$7,2,FALSE)</f>
        <v>TESTING / LEVEL UNASSIGNED</v>
      </c>
      <c r="F183" s="1" t="s">
        <v>133</v>
      </c>
      <c r="G183" s="2">
        <v>46001</v>
      </c>
      <c r="H183" s="1">
        <v>199</v>
      </c>
      <c r="I183" s="1">
        <f t="shared" si="5"/>
        <v>4</v>
      </c>
      <c r="J183" s="1">
        <f>LEN(Table1[[#This Row],[Final_Word]])</f>
        <v>10</v>
      </c>
    </row>
    <row r="184" spans="1:10" x14ac:dyDescent="0.2">
      <c r="A184" s="1" t="s">
        <v>355</v>
      </c>
      <c r="B184" s="1" t="s">
        <v>356</v>
      </c>
      <c r="C184" s="1">
        <v>999.00069999999982</v>
      </c>
      <c r="D184" s="1">
        <f t="shared" si="4"/>
        <v>999</v>
      </c>
      <c r="E184" s="1" t="str">
        <f>VLOOKUP(D184,'Level Key'!$A$1:$B$7,2,FALSE)</f>
        <v>TESTING / LEVEL UNASSIGNED</v>
      </c>
      <c r="F184" s="1" t="s">
        <v>133</v>
      </c>
      <c r="G184" s="2">
        <v>46002</v>
      </c>
      <c r="H184" s="1">
        <v>200</v>
      </c>
      <c r="I184" s="1">
        <f t="shared" si="5"/>
        <v>4</v>
      </c>
      <c r="J184" s="1">
        <f>LEN(Table1[[#This Row],[Final_Word]])</f>
        <v>9</v>
      </c>
    </row>
    <row r="185" spans="1:10" x14ac:dyDescent="0.2">
      <c r="A185" s="1" t="s">
        <v>357</v>
      </c>
      <c r="B185" s="1" t="s">
        <v>358</v>
      </c>
      <c r="C185" s="1">
        <v>999.0007999999998</v>
      </c>
      <c r="D185" s="1">
        <f t="shared" si="4"/>
        <v>999</v>
      </c>
      <c r="E185" s="1" t="str">
        <f>VLOOKUP(D185,'Level Key'!$A$1:$B$7,2,FALSE)</f>
        <v>TESTING / LEVEL UNASSIGNED</v>
      </c>
      <c r="F185" s="1" t="s">
        <v>133</v>
      </c>
      <c r="G185" s="2">
        <v>46003</v>
      </c>
      <c r="H185" s="1">
        <v>201</v>
      </c>
      <c r="I185" s="1">
        <f t="shared" si="5"/>
        <v>4</v>
      </c>
      <c r="J185" s="1">
        <f>LEN(Table1[[#This Row],[Final_Word]])</f>
        <v>8</v>
      </c>
    </row>
    <row r="186" spans="1:10" x14ac:dyDescent="0.2">
      <c r="A186" s="1" t="s">
        <v>359</v>
      </c>
      <c r="B186" s="1" t="s">
        <v>360</v>
      </c>
      <c r="C186" s="1">
        <v>999.00089999999977</v>
      </c>
      <c r="D186" s="1">
        <f t="shared" si="4"/>
        <v>999</v>
      </c>
      <c r="E186" s="1" t="str">
        <f>VLOOKUP(D186,'Level Key'!$A$1:$B$7,2,FALSE)</f>
        <v>TESTING / LEVEL UNASSIGNED</v>
      </c>
      <c r="F186" s="1" t="s">
        <v>133</v>
      </c>
      <c r="G186" s="2">
        <v>46004</v>
      </c>
      <c r="H186" s="1">
        <v>202</v>
      </c>
      <c r="I186" s="1">
        <f t="shared" si="5"/>
        <v>4</v>
      </c>
      <c r="J186" s="1">
        <f>LEN(Table1[[#This Row],[Final_Word]])</f>
        <v>9</v>
      </c>
    </row>
    <row r="187" spans="1:10" x14ac:dyDescent="0.2">
      <c r="A187" s="1" t="s">
        <v>361</v>
      </c>
      <c r="B187" s="1" t="s">
        <v>362</v>
      </c>
      <c r="C187" s="1">
        <v>999.00099999999975</v>
      </c>
      <c r="D187" s="1">
        <f t="shared" si="4"/>
        <v>999</v>
      </c>
      <c r="E187" s="1" t="str">
        <f>VLOOKUP(D187,'Level Key'!$A$1:$B$7,2,FALSE)</f>
        <v>TESTING / LEVEL UNASSIGNED</v>
      </c>
      <c r="F187" s="1" t="s">
        <v>133</v>
      </c>
      <c r="G187" s="2">
        <v>46005</v>
      </c>
      <c r="H187" s="1">
        <v>203</v>
      </c>
      <c r="I187" s="1">
        <f t="shared" si="5"/>
        <v>4</v>
      </c>
      <c r="J187" s="1">
        <f>LEN(Table1[[#This Row],[Final_Word]])</f>
        <v>8</v>
      </c>
    </row>
    <row r="188" spans="1:10" x14ac:dyDescent="0.2">
      <c r="A188" s="1" t="s">
        <v>363</v>
      </c>
      <c r="B188" s="1" t="s">
        <v>364</v>
      </c>
      <c r="C188" s="1">
        <v>999.0011999999997</v>
      </c>
      <c r="D188" s="1">
        <f t="shared" si="4"/>
        <v>999</v>
      </c>
      <c r="E188" s="1" t="str">
        <f>VLOOKUP(D188,'Level Key'!$A$1:$B$7,2,FALSE)</f>
        <v>TESTING / LEVEL UNASSIGNED</v>
      </c>
      <c r="F188" s="1" t="s">
        <v>133</v>
      </c>
      <c r="G188" s="2">
        <v>46006</v>
      </c>
      <c r="H188" s="1">
        <v>205</v>
      </c>
      <c r="I188" s="1">
        <f t="shared" si="5"/>
        <v>4</v>
      </c>
      <c r="J188" s="1">
        <f>LEN(Table1[[#This Row],[Final_Word]])</f>
        <v>8</v>
      </c>
    </row>
    <row r="189" spans="1:10" x14ac:dyDescent="0.2">
      <c r="A189" s="1" t="s">
        <v>365</v>
      </c>
      <c r="B189" s="1" t="s">
        <v>366</v>
      </c>
      <c r="C189" s="1">
        <v>999.00129999999967</v>
      </c>
      <c r="D189" s="1">
        <f t="shared" si="4"/>
        <v>999</v>
      </c>
      <c r="E189" s="1" t="str">
        <f>VLOOKUP(D189,'Level Key'!$A$1:$B$7,2,FALSE)</f>
        <v>TESTING / LEVEL UNASSIGNED</v>
      </c>
      <c r="F189" s="1" t="s">
        <v>133</v>
      </c>
      <c r="G189" s="2">
        <v>46007</v>
      </c>
      <c r="H189" s="1">
        <v>206</v>
      </c>
      <c r="I189" s="1">
        <f t="shared" si="5"/>
        <v>4</v>
      </c>
      <c r="J189" s="1">
        <f>LEN(Table1[[#This Row],[Final_Word]])</f>
        <v>8</v>
      </c>
    </row>
    <row r="190" spans="1:10" x14ac:dyDescent="0.2">
      <c r="A190" s="1" t="s">
        <v>367</v>
      </c>
      <c r="B190" s="1" t="s">
        <v>368</v>
      </c>
      <c r="C190" s="1">
        <v>999.00139999999965</v>
      </c>
      <c r="D190" s="1">
        <f t="shared" si="4"/>
        <v>999</v>
      </c>
      <c r="E190" s="1" t="str">
        <f>VLOOKUP(D190,'Level Key'!$A$1:$B$7,2,FALSE)</f>
        <v>TESTING / LEVEL UNASSIGNED</v>
      </c>
      <c r="F190" s="1" t="s">
        <v>133</v>
      </c>
      <c r="G190" s="2">
        <v>46008</v>
      </c>
      <c r="H190" s="1">
        <v>207</v>
      </c>
      <c r="I190" s="1">
        <f t="shared" si="5"/>
        <v>4</v>
      </c>
      <c r="J190" s="1">
        <f>LEN(Table1[[#This Row],[Final_Word]])</f>
        <v>8</v>
      </c>
    </row>
    <row r="191" spans="1:10" x14ac:dyDescent="0.2">
      <c r="A191" s="1" t="s">
        <v>369</v>
      </c>
      <c r="B191" s="1" t="s">
        <v>370</v>
      </c>
      <c r="C191" s="1">
        <v>999.00149999999962</v>
      </c>
      <c r="D191" s="1">
        <f t="shared" si="4"/>
        <v>999</v>
      </c>
      <c r="E191" s="1" t="str">
        <f>VLOOKUP(D191,'Level Key'!$A$1:$B$7,2,FALSE)</f>
        <v>TESTING / LEVEL UNASSIGNED</v>
      </c>
      <c r="F191" s="1" t="s">
        <v>133</v>
      </c>
      <c r="G191" s="2">
        <v>46009</v>
      </c>
      <c r="H191" s="1">
        <v>208</v>
      </c>
      <c r="I191" s="1">
        <f t="shared" si="5"/>
        <v>9</v>
      </c>
      <c r="J191" s="1">
        <f>LEN(Table1[[#This Row],[Final_Word]])</f>
        <v>11</v>
      </c>
    </row>
    <row r="192" spans="1:10" x14ac:dyDescent="0.2">
      <c r="A192" s="1" t="s">
        <v>372</v>
      </c>
      <c r="B192" s="1" t="s">
        <v>371</v>
      </c>
      <c r="C192" s="1">
        <v>999.0015999999996</v>
      </c>
      <c r="D192" s="1">
        <f t="shared" si="4"/>
        <v>999</v>
      </c>
      <c r="E192" s="1" t="str">
        <f>VLOOKUP(D192,'Level Key'!$A$1:$B$7,2,FALSE)</f>
        <v>TESTING / LEVEL UNASSIGNED</v>
      </c>
      <c r="F192" s="1" t="s">
        <v>133</v>
      </c>
      <c r="G192" s="2">
        <v>46010</v>
      </c>
      <c r="H192" s="1">
        <v>209</v>
      </c>
      <c r="I192" s="1">
        <f t="shared" si="5"/>
        <v>4</v>
      </c>
      <c r="J192" s="1">
        <f>LEN(Table1[[#This Row],[Final_Word]])</f>
        <v>10</v>
      </c>
    </row>
    <row r="193" spans="1:10" x14ac:dyDescent="0.2">
      <c r="A193" s="1" t="s">
        <v>373</v>
      </c>
      <c r="B193" s="1" t="s">
        <v>374</v>
      </c>
      <c r="C193" s="1">
        <v>999.00169999999957</v>
      </c>
      <c r="D193" s="1">
        <f t="shared" si="4"/>
        <v>999</v>
      </c>
      <c r="E193" s="1" t="str">
        <f>VLOOKUP(D193,'Level Key'!$A$1:$B$7,2,FALSE)</f>
        <v>TESTING / LEVEL UNASSIGNED</v>
      </c>
      <c r="F193" s="1" t="s">
        <v>133</v>
      </c>
      <c r="G193" s="2">
        <v>46011</v>
      </c>
      <c r="H193" s="1">
        <v>210</v>
      </c>
      <c r="I193" s="1">
        <f t="shared" si="5"/>
        <v>4</v>
      </c>
      <c r="J193" s="1">
        <f>LEN(Table1[[#This Row],[Final_Word]])</f>
        <v>9</v>
      </c>
    </row>
    <row r="194" spans="1:10" x14ac:dyDescent="0.2">
      <c r="A194" s="1" t="s">
        <v>375</v>
      </c>
      <c r="B194" s="1" t="s">
        <v>376</v>
      </c>
      <c r="C194" s="1">
        <v>999.00179999999955</v>
      </c>
      <c r="D194" s="1">
        <f t="shared" ref="D194:D257" si="6">ROUNDDOWN(C194,0)</f>
        <v>999</v>
      </c>
      <c r="E194" s="1" t="str">
        <f>VLOOKUP(D194,'Level Key'!$A$1:$B$7,2,FALSE)</f>
        <v>TESTING / LEVEL UNASSIGNED</v>
      </c>
      <c r="F194" s="1" t="s">
        <v>133</v>
      </c>
      <c r="G194" s="2">
        <v>46012</v>
      </c>
      <c r="H194" s="1">
        <v>211</v>
      </c>
      <c r="I194" s="1">
        <f t="shared" ref="I194:I257" si="7">LEN(A194)</f>
        <v>4</v>
      </c>
      <c r="J194" s="1">
        <f>LEN(Table1[[#This Row],[Final_Word]])</f>
        <v>9</v>
      </c>
    </row>
    <row r="195" spans="1:10" x14ac:dyDescent="0.2">
      <c r="A195" s="1" t="s">
        <v>377</v>
      </c>
      <c r="B195" s="1" t="s">
        <v>378</v>
      </c>
      <c r="C195" s="1">
        <v>999.00189999999952</v>
      </c>
      <c r="D195" s="1">
        <f t="shared" si="6"/>
        <v>999</v>
      </c>
      <c r="E195" s="1" t="str">
        <f>VLOOKUP(D195,'Level Key'!$A$1:$B$7,2,FALSE)</f>
        <v>TESTING / LEVEL UNASSIGNED</v>
      </c>
      <c r="F195" s="1" t="s">
        <v>133</v>
      </c>
      <c r="G195" s="2">
        <v>46013</v>
      </c>
      <c r="H195" s="1">
        <v>212</v>
      </c>
      <c r="I195" s="1">
        <f t="shared" si="7"/>
        <v>6</v>
      </c>
      <c r="J195" s="1">
        <f>LEN(Table1[[#This Row],[Final_Word]])</f>
        <v>9</v>
      </c>
    </row>
    <row r="196" spans="1:10" x14ac:dyDescent="0.2">
      <c r="A196" s="1" t="s">
        <v>379</v>
      </c>
      <c r="B196" s="1" t="s">
        <v>380</v>
      </c>
      <c r="C196" s="1">
        <v>999.0019999999995</v>
      </c>
      <c r="D196" s="1">
        <f t="shared" si="6"/>
        <v>999</v>
      </c>
      <c r="E196" s="1" t="str">
        <f>VLOOKUP(D196,'Level Key'!$A$1:$B$7,2,FALSE)</f>
        <v>TESTING / LEVEL UNASSIGNED</v>
      </c>
      <c r="F196" s="1" t="s">
        <v>133</v>
      </c>
      <c r="G196" s="2">
        <v>46014</v>
      </c>
      <c r="H196" s="1">
        <v>213</v>
      </c>
      <c r="I196" s="1">
        <f t="shared" si="7"/>
        <v>4</v>
      </c>
      <c r="J196" s="1">
        <f>LEN(Table1[[#This Row],[Final_Word]])</f>
        <v>7</v>
      </c>
    </row>
    <row r="197" spans="1:10" x14ac:dyDescent="0.2">
      <c r="A197" s="1" t="s">
        <v>55</v>
      </c>
      <c r="B197" s="1" t="s">
        <v>381</v>
      </c>
      <c r="C197" s="1">
        <v>999.00209999999947</v>
      </c>
      <c r="D197" s="1">
        <f t="shared" si="6"/>
        <v>999</v>
      </c>
      <c r="E197" s="1" t="str">
        <f>VLOOKUP(D197,'Level Key'!$A$1:$B$7,2,FALSE)</f>
        <v>TESTING / LEVEL UNASSIGNED</v>
      </c>
      <c r="F197" s="1" t="s">
        <v>133</v>
      </c>
      <c r="G197" s="2">
        <v>46015</v>
      </c>
      <c r="H197" s="1">
        <v>214</v>
      </c>
      <c r="I197" s="1">
        <f t="shared" si="7"/>
        <v>3</v>
      </c>
      <c r="J197" s="1">
        <f>LEN(Table1[[#This Row],[Final_Word]])</f>
        <v>8</v>
      </c>
    </row>
    <row r="198" spans="1:10" x14ac:dyDescent="0.2">
      <c r="A198" s="1" t="s">
        <v>382</v>
      </c>
      <c r="B198" s="1" t="s">
        <v>383</v>
      </c>
      <c r="C198" s="1">
        <v>999.00219999999945</v>
      </c>
      <c r="D198" s="1">
        <f t="shared" si="6"/>
        <v>999</v>
      </c>
      <c r="E198" s="1" t="str">
        <f>VLOOKUP(D198,'Level Key'!$A$1:$B$7,2,FALSE)</f>
        <v>TESTING / LEVEL UNASSIGNED</v>
      </c>
      <c r="F198" s="1" t="s">
        <v>133</v>
      </c>
      <c r="G198" s="2">
        <v>46016</v>
      </c>
      <c r="H198" s="1">
        <v>215</v>
      </c>
      <c r="I198" s="1">
        <f t="shared" si="7"/>
        <v>3</v>
      </c>
      <c r="J198" s="1">
        <f>LEN(Table1[[#This Row],[Final_Word]])</f>
        <v>8</v>
      </c>
    </row>
    <row r="199" spans="1:10" x14ac:dyDescent="0.2">
      <c r="A199" s="1" t="s">
        <v>384</v>
      </c>
      <c r="B199" s="1" t="s">
        <v>385</v>
      </c>
      <c r="C199" s="1">
        <v>999.00229999999942</v>
      </c>
      <c r="D199" s="1">
        <f t="shared" si="6"/>
        <v>999</v>
      </c>
      <c r="E199" s="1" t="str">
        <f>VLOOKUP(D199,'Level Key'!$A$1:$B$7,2,FALSE)</f>
        <v>TESTING / LEVEL UNASSIGNED</v>
      </c>
      <c r="F199" s="1" t="s">
        <v>133</v>
      </c>
      <c r="G199" s="2">
        <v>46017</v>
      </c>
      <c r="H199" s="1">
        <v>216</v>
      </c>
      <c r="I199" s="1">
        <f t="shared" si="7"/>
        <v>4</v>
      </c>
      <c r="J199" s="1">
        <f>LEN(Table1[[#This Row],[Final_Word]])</f>
        <v>8</v>
      </c>
    </row>
    <row r="200" spans="1:10" x14ac:dyDescent="0.2">
      <c r="A200" s="1" t="s">
        <v>386</v>
      </c>
      <c r="B200" s="1" t="s">
        <v>387</v>
      </c>
      <c r="C200" s="1">
        <v>999.0023999999994</v>
      </c>
      <c r="D200" s="1">
        <f t="shared" si="6"/>
        <v>999</v>
      </c>
      <c r="E200" s="1" t="str">
        <f>VLOOKUP(D200,'Level Key'!$A$1:$B$7,2,FALSE)</f>
        <v>TESTING / LEVEL UNASSIGNED</v>
      </c>
      <c r="F200" s="1" t="s">
        <v>133</v>
      </c>
      <c r="G200" s="2">
        <v>46018</v>
      </c>
      <c r="H200" s="1">
        <v>217</v>
      </c>
      <c r="I200" s="1">
        <f t="shared" si="7"/>
        <v>4</v>
      </c>
      <c r="J200" s="1">
        <f>LEN(Table1[[#This Row],[Final_Word]])</f>
        <v>11</v>
      </c>
    </row>
    <row r="201" spans="1:10" x14ac:dyDescent="0.2">
      <c r="A201" s="1" t="s">
        <v>388</v>
      </c>
      <c r="B201" s="1" t="s">
        <v>389</v>
      </c>
      <c r="C201" s="1">
        <v>999.00249999999937</v>
      </c>
      <c r="D201" s="1">
        <f t="shared" si="6"/>
        <v>999</v>
      </c>
      <c r="E201" s="1" t="str">
        <f>VLOOKUP(D201,'Level Key'!$A$1:$B$7,2,FALSE)</f>
        <v>TESTING / LEVEL UNASSIGNED</v>
      </c>
      <c r="F201" s="1" t="s">
        <v>133</v>
      </c>
      <c r="G201" s="2">
        <v>46019</v>
      </c>
      <c r="H201" s="1">
        <v>218</v>
      </c>
      <c r="I201" s="1">
        <f t="shared" si="7"/>
        <v>8</v>
      </c>
      <c r="J201" s="1">
        <f>LEN(Table1[[#This Row],[Final_Word]])</f>
        <v>10</v>
      </c>
    </row>
    <row r="202" spans="1:10" x14ac:dyDescent="0.2">
      <c r="A202" s="1" t="s">
        <v>390</v>
      </c>
      <c r="B202" s="1" t="s">
        <v>391</v>
      </c>
      <c r="C202" s="1">
        <v>999.00259999999935</v>
      </c>
      <c r="D202" s="1">
        <f t="shared" si="6"/>
        <v>999</v>
      </c>
      <c r="E202" s="1" t="str">
        <f>VLOOKUP(D202,'Level Key'!$A$1:$B$7,2,FALSE)</f>
        <v>TESTING / LEVEL UNASSIGNED</v>
      </c>
      <c r="F202" s="1" t="s">
        <v>133</v>
      </c>
      <c r="G202" s="2">
        <v>46020</v>
      </c>
      <c r="H202" s="1">
        <v>219</v>
      </c>
      <c r="I202" s="1">
        <f t="shared" si="7"/>
        <v>4</v>
      </c>
      <c r="J202" s="1">
        <f>LEN(Table1[[#This Row],[Final_Word]])</f>
        <v>9</v>
      </c>
    </row>
    <row r="203" spans="1:10" x14ac:dyDescent="0.2">
      <c r="A203" s="1" t="s">
        <v>392</v>
      </c>
      <c r="B203" s="1" t="s">
        <v>393</v>
      </c>
      <c r="C203" s="1">
        <v>999.00269999999932</v>
      </c>
      <c r="D203" s="1">
        <f t="shared" si="6"/>
        <v>999</v>
      </c>
      <c r="E203" s="1" t="str">
        <f>VLOOKUP(D203,'Level Key'!$A$1:$B$7,2,FALSE)</f>
        <v>TESTING / LEVEL UNASSIGNED</v>
      </c>
      <c r="F203" s="1" t="s">
        <v>133</v>
      </c>
      <c r="G203" s="2">
        <v>46021</v>
      </c>
      <c r="H203" s="1">
        <v>220</v>
      </c>
      <c r="I203" s="1">
        <f t="shared" si="7"/>
        <v>4</v>
      </c>
      <c r="J203" s="1">
        <f>LEN(Table1[[#This Row],[Final_Word]])</f>
        <v>10</v>
      </c>
    </row>
    <row r="204" spans="1:10" x14ac:dyDescent="0.2">
      <c r="A204" s="1" t="s">
        <v>394</v>
      </c>
      <c r="B204" s="1" t="s">
        <v>395</v>
      </c>
      <c r="C204" s="1">
        <v>999.0027999999993</v>
      </c>
      <c r="D204" s="1">
        <f t="shared" si="6"/>
        <v>999</v>
      </c>
      <c r="E204" s="1" t="str">
        <f>VLOOKUP(D204,'Level Key'!$A$1:$B$7,2,FALSE)</f>
        <v>TESTING / LEVEL UNASSIGNED</v>
      </c>
      <c r="F204" s="1" t="s">
        <v>133</v>
      </c>
      <c r="G204" s="2">
        <v>46022</v>
      </c>
      <c r="H204" s="1">
        <v>221</v>
      </c>
      <c r="I204" s="1">
        <f t="shared" si="7"/>
        <v>4</v>
      </c>
      <c r="J204" s="1">
        <f>LEN(Table1[[#This Row],[Final_Word]])</f>
        <v>9</v>
      </c>
    </row>
    <row r="205" spans="1:10" x14ac:dyDescent="0.2">
      <c r="A205" s="1" t="s">
        <v>396</v>
      </c>
      <c r="B205" s="1" t="s">
        <v>397</v>
      </c>
      <c r="C205" s="1">
        <v>999.00289999999927</v>
      </c>
      <c r="D205" s="1">
        <f t="shared" si="6"/>
        <v>999</v>
      </c>
      <c r="E205" s="1" t="str">
        <f>VLOOKUP(D205,'Level Key'!$A$1:$B$7,2,FALSE)</f>
        <v>TESTING / LEVEL UNASSIGNED</v>
      </c>
      <c r="F205" s="1" t="s">
        <v>133</v>
      </c>
      <c r="G205" s="2">
        <v>46023</v>
      </c>
      <c r="H205" s="1">
        <v>222</v>
      </c>
      <c r="I205" s="1">
        <f t="shared" si="7"/>
        <v>3</v>
      </c>
      <c r="J205" s="1">
        <f>LEN(Table1[[#This Row],[Final_Word]])</f>
        <v>7</v>
      </c>
    </row>
    <row r="206" spans="1:10" x14ac:dyDescent="0.2">
      <c r="A206" s="1" t="s">
        <v>398</v>
      </c>
      <c r="B206" s="1" t="s">
        <v>399</v>
      </c>
      <c r="C206" s="1">
        <v>999.00299999999925</v>
      </c>
      <c r="D206" s="1">
        <f t="shared" si="6"/>
        <v>999</v>
      </c>
      <c r="E206" s="1" t="str">
        <f>VLOOKUP(D206,'Level Key'!$A$1:$B$7,2,FALSE)</f>
        <v>TESTING / LEVEL UNASSIGNED</v>
      </c>
      <c r="F206" s="1" t="s">
        <v>133</v>
      </c>
      <c r="G206" s="2">
        <v>46024</v>
      </c>
      <c r="H206" s="1">
        <v>223</v>
      </c>
      <c r="I206" s="1">
        <f t="shared" si="7"/>
        <v>4</v>
      </c>
      <c r="J206" s="1">
        <f>LEN(Table1[[#This Row],[Final_Word]])</f>
        <v>7</v>
      </c>
    </row>
    <row r="207" spans="1:10" x14ac:dyDescent="0.2">
      <c r="A207" s="1" t="s">
        <v>400</v>
      </c>
      <c r="B207" s="1" t="s">
        <v>401</v>
      </c>
      <c r="C207" s="1">
        <v>999.00309999999922</v>
      </c>
      <c r="D207" s="1">
        <f t="shared" si="6"/>
        <v>999</v>
      </c>
      <c r="E207" s="1" t="str">
        <f>VLOOKUP(D207,'Level Key'!$A$1:$B$7,2,FALSE)</f>
        <v>TESTING / LEVEL UNASSIGNED</v>
      </c>
      <c r="F207" s="1" t="s">
        <v>133</v>
      </c>
      <c r="G207" s="2">
        <v>46025</v>
      </c>
      <c r="H207" s="1">
        <v>224</v>
      </c>
      <c r="I207" s="1">
        <f t="shared" si="7"/>
        <v>4</v>
      </c>
      <c r="J207" s="1">
        <f>LEN(Table1[[#This Row],[Final_Word]])</f>
        <v>8</v>
      </c>
    </row>
    <row r="208" spans="1:10" x14ac:dyDescent="0.2">
      <c r="A208" s="1" t="s">
        <v>61</v>
      </c>
      <c r="B208" s="1" t="s">
        <v>402</v>
      </c>
      <c r="C208" s="1">
        <v>999.0031999999992</v>
      </c>
      <c r="D208" s="1">
        <f t="shared" si="6"/>
        <v>999</v>
      </c>
      <c r="E208" s="1" t="str">
        <f>VLOOKUP(D208,'Level Key'!$A$1:$B$7,2,FALSE)</f>
        <v>TESTING / LEVEL UNASSIGNED</v>
      </c>
      <c r="F208" s="1" t="s">
        <v>133</v>
      </c>
      <c r="G208" s="2">
        <v>46026</v>
      </c>
      <c r="H208" s="1">
        <v>225</v>
      </c>
      <c r="I208" s="1">
        <f t="shared" si="7"/>
        <v>3</v>
      </c>
      <c r="J208" s="1">
        <f>LEN(Table1[[#This Row],[Final_Word]])</f>
        <v>8</v>
      </c>
    </row>
    <row r="209" spans="1:10" x14ac:dyDescent="0.2">
      <c r="A209" s="1" t="s">
        <v>152</v>
      </c>
      <c r="B209" s="1" t="s">
        <v>403</v>
      </c>
      <c r="C209" s="1">
        <v>999.00329999999917</v>
      </c>
      <c r="D209" s="1">
        <f t="shared" si="6"/>
        <v>999</v>
      </c>
      <c r="E209" s="1" t="str">
        <f>VLOOKUP(D209,'Level Key'!$A$1:$B$7,2,FALSE)</f>
        <v>TESTING / LEVEL UNASSIGNED</v>
      </c>
      <c r="F209" s="1" t="s">
        <v>133</v>
      </c>
      <c r="G209" s="2">
        <v>46027</v>
      </c>
      <c r="H209" s="1">
        <v>226</v>
      </c>
      <c r="I209" s="1">
        <f t="shared" si="7"/>
        <v>3</v>
      </c>
      <c r="J209" s="1">
        <f>LEN(Table1[[#This Row],[Final_Word]])</f>
        <v>8</v>
      </c>
    </row>
    <row r="210" spans="1:10" x14ac:dyDescent="0.2">
      <c r="A210" s="1" t="s">
        <v>404</v>
      </c>
      <c r="B210" s="1" t="s">
        <v>405</v>
      </c>
      <c r="C210" s="1">
        <v>999.00339999999915</v>
      </c>
      <c r="D210" s="1">
        <f t="shared" si="6"/>
        <v>999</v>
      </c>
      <c r="E210" s="1" t="str">
        <f>VLOOKUP(D210,'Level Key'!$A$1:$B$7,2,FALSE)</f>
        <v>TESTING / LEVEL UNASSIGNED</v>
      </c>
      <c r="F210" s="1" t="s">
        <v>133</v>
      </c>
      <c r="G210" s="2">
        <v>46028</v>
      </c>
      <c r="H210" s="1">
        <v>227</v>
      </c>
      <c r="I210" s="1">
        <f t="shared" si="7"/>
        <v>7</v>
      </c>
      <c r="J210" s="1">
        <f>LEN(Table1[[#This Row],[Final_Word]])</f>
        <v>12</v>
      </c>
    </row>
    <row r="211" spans="1:10" x14ac:dyDescent="0.2">
      <c r="A211" s="1" t="s">
        <v>53</v>
      </c>
      <c r="B211" s="1" t="s">
        <v>406</v>
      </c>
      <c r="C211" s="1">
        <v>999.00349999999912</v>
      </c>
      <c r="D211" s="1">
        <f t="shared" si="6"/>
        <v>999</v>
      </c>
      <c r="E211" s="1" t="str">
        <f>VLOOKUP(D211,'Level Key'!$A$1:$B$7,2,FALSE)</f>
        <v>TESTING / LEVEL UNASSIGNED</v>
      </c>
      <c r="F211" s="1" t="s">
        <v>133</v>
      </c>
      <c r="G211" s="2">
        <v>46029</v>
      </c>
      <c r="H211" s="1">
        <v>228</v>
      </c>
      <c r="I211" s="1">
        <f t="shared" si="7"/>
        <v>3</v>
      </c>
      <c r="J211" s="1">
        <f>LEN(Table1[[#This Row],[Final_Word]])</f>
        <v>9</v>
      </c>
    </row>
    <row r="212" spans="1:10" x14ac:dyDescent="0.2">
      <c r="A212" s="1" t="s">
        <v>408</v>
      </c>
      <c r="B212" s="1" t="s">
        <v>407</v>
      </c>
      <c r="C212" s="1">
        <v>999.0035999999991</v>
      </c>
      <c r="D212" s="1">
        <f t="shared" si="6"/>
        <v>999</v>
      </c>
      <c r="E212" s="1" t="str">
        <f>VLOOKUP(D212,'Level Key'!$A$1:$B$7,2,FALSE)</f>
        <v>TESTING / LEVEL UNASSIGNED</v>
      </c>
      <c r="F212" s="1" t="s">
        <v>133</v>
      </c>
      <c r="G212" s="2">
        <v>46030</v>
      </c>
      <c r="H212" s="1">
        <v>229</v>
      </c>
      <c r="I212" s="1">
        <f t="shared" si="7"/>
        <v>4</v>
      </c>
      <c r="J212" s="1">
        <f>LEN(Table1[[#This Row],[Final_Word]])</f>
        <v>9</v>
      </c>
    </row>
    <row r="213" spans="1:10" x14ac:dyDescent="0.2">
      <c r="A213" s="1" t="s">
        <v>214</v>
      </c>
      <c r="B213" s="1" t="s">
        <v>409</v>
      </c>
      <c r="C213" s="1">
        <v>999.00369999999907</v>
      </c>
      <c r="D213" s="1">
        <f t="shared" si="6"/>
        <v>999</v>
      </c>
      <c r="E213" s="1" t="str">
        <f>VLOOKUP(D213,'Level Key'!$A$1:$B$7,2,FALSE)</f>
        <v>TESTING / LEVEL UNASSIGNED</v>
      </c>
      <c r="F213" s="1" t="s">
        <v>133</v>
      </c>
      <c r="G213" s="2">
        <v>46031</v>
      </c>
      <c r="H213" s="1">
        <v>230</v>
      </c>
      <c r="I213" s="1">
        <f t="shared" si="7"/>
        <v>3</v>
      </c>
      <c r="J213" s="1">
        <f>LEN(Table1[[#This Row],[Final_Word]])</f>
        <v>8</v>
      </c>
    </row>
    <row r="214" spans="1:10" x14ac:dyDescent="0.2">
      <c r="A214" s="1" t="s">
        <v>410</v>
      </c>
      <c r="B214" s="1" t="s">
        <v>411</v>
      </c>
      <c r="C214" s="1">
        <v>999.00379999999905</v>
      </c>
      <c r="D214" s="1">
        <f t="shared" si="6"/>
        <v>999</v>
      </c>
      <c r="E214" s="1" t="str">
        <f>VLOOKUP(D214,'Level Key'!$A$1:$B$7,2,FALSE)</f>
        <v>TESTING / LEVEL UNASSIGNED</v>
      </c>
      <c r="F214" s="1" t="s">
        <v>133</v>
      </c>
      <c r="G214" s="2">
        <v>46032</v>
      </c>
      <c r="H214" s="1">
        <v>231</v>
      </c>
      <c r="I214" s="1">
        <f t="shared" si="7"/>
        <v>4</v>
      </c>
      <c r="J214" s="1">
        <f>LEN(Table1[[#This Row],[Final_Word]])</f>
        <v>10</v>
      </c>
    </row>
    <row r="215" spans="1:10" x14ac:dyDescent="0.2">
      <c r="A215" s="1" t="s">
        <v>386</v>
      </c>
      <c r="B215" s="1" t="s">
        <v>412</v>
      </c>
      <c r="C215" s="1">
        <v>999.00389999999902</v>
      </c>
      <c r="D215" s="1">
        <f t="shared" si="6"/>
        <v>999</v>
      </c>
      <c r="E215" s="1" t="str">
        <f>VLOOKUP(D215,'Level Key'!$A$1:$B$7,2,FALSE)</f>
        <v>TESTING / LEVEL UNASSIGNED</v>
      </c>
      <c r="F215" s="1" t="s">
        <v>133</v>
      </c>
      <c r="G215" s="2">
        <v>46033</v>
      </c>
      <c r="H215" s="1">
        <v>232</v>
      </c>
      <c r="I215" s="1">
        <f t="shared" si="7"/>
        <v>4</v>
      </c>
      <c r="J215" s="1">
        <f>LEN(Table1[[#This Row],[Final_Word]])</f>
        <v>9</v>
      </c>
    </row>
    <row r="216" spans="1:10" x14ac:dyDescent="0.2">
      <c r="A216" s="1" t="s">
        <v>394</v>
      </c>
      <c r="B216" s="1" t="s">
        <v>413</v>
      </c>
      <c r="C216" s="1">
        <v>999.003999999999</v>
      </c>
      <c r="D216" s="1">
        <f t="shared" si="6"/>
        <v>999</v>
      </c>
      <c r="E216" s="1" t="str">
        <f>VLOOKUP(D216,'Level Key'!$A$1:$B$7,2,FALSE)</f>
        <v>TESTING / LEVEL UNASSIGNED</v>
      </c>
      <c r="F216" s="1" t="s">
        <v>133</v>
      </c>
      <c r="G216" s="2">
        <v>46034</v>
      </c>
      <c r="H216" s="1">
        <v>233</v>
      </c>
      <c r="I216" s="1">
        <f t="shared" si="7"/>
        <v>4</v>
      </c>
      <c r="J216" s="1">
        <f>LEN(Table1[[#This Row],[Final_Word]])</f>
        <v>9</v>
      </c>
    </row>
    <row r="217" spans="1:10" x14ac:dyDescent="0.2">
      <c r="A217" s="1" t="s">
        <v>414</v>
      </c>
      <c r="B217" s="1" t="s">
        <v>415</v>
      </c>
      <c r="C217" s="1">
        <v>999.00409999999897</v>
      </c>
      <c r="D217" s="1">
        <f t="shared" si="6"/>
        <v>999</v>
      </c>
      <c r="E217" s="1" t="str">
        <f>VLOOKUP(D217,'Level Key'!$A$1:$B$7,2,FALSE)</f>
        <v>TESTING / LEVEL UNASSIGNED</v>
      </c>
      <c r="F217" s="1" t="s">
        <v>133</v>
      </c>
      <c r="G217" s="2">
        <v>46035</v>
      </c>
      <c r="H217" s="1">
        <v>234</v>
      </c>
      <c r="I217" s="1">
        <f t="shared" si="7"/>
        <v>5</v>
      </c>
      <c r="J217" s="1">
        <f>LEN(Table1[[#This Row],[Final_Word]])</f>
        <v>9</v>
      </c>
    </row>
    <row r="218" spans="1:10" x14ac:dyDescent="0.2">
      <c r="A218" s="1" t="s">
        <v>416</v>
      </c>
      <c r="B218" s="1" t="s">
        <v>417</v>
      </c>
      <c r="C218" s="1">
        <v>999.00419999999895</v>
      </c>
      <c r="D218" s="1">
        <f t="shared" si="6"/>
        <v>999</v>
      </c>
      <c r="E218" s="1" t="str">
        <f>VLOOKUP(D218,'Level Key'!$A$1:$B$7,2,FALSE)</f>
        <v>TESTING / LEVEL UNASSIGNED</v>
      </c>
      <c r="F218" s="1" t="s">
        <v>133</v>
      </c>
      <c r="G218" s="2">
        <v>46036</v>
      </c>
      <c r="H218" s="1">
        <v>235</v>
      </c>
      <c r="I218" s="1">
        <f t="shared" si="7"/>
        <v>4</v>
      </c>
      <c r="J218" s="1">
        <f>LEN(Table1[[#This Row],[Final_Word]])</f>
        <v>8</v>
      </c>
    </row>
    <row r="219" spans="1:10" x14ac:dyDescent="0.2">
      <c r="A219" s="1" t="s">
        <v>418</v>
      </c>
      <c r="B219" s="1" t="s">
        <v>419</v>
      </c>
      <c r="C219" s="1">
        <v>999.00429999999892</v>
      </c>
      <c r="D219" s="1">
        <f t="shared" si="6"/>
        <v>999</v>
      </c>
      <c r="E219" s="1" t="str">
        <f>VLOOKUP(D219,'Level Key'!$A$1:$B$7,2,FALSE)</f>
        <v>TESTING / LEVEL UNASSIGNED</v>
      </c>
      <c r="F219" s="1" t="s">
        <v>133</v>
      </c>
      <c r="G219" s="2">
        <v>46037</v>
      </c>
      <c r="H219" s="1">
        <v>236</v>
      </c>
      <c r="I219" s="1">
        <f t="shared" si="7"/>
        <v>4</v>
      </c>
      <c r="J219" s="1">
        <f>LEN(Table1[[#This Row],[Final_Word]])</f>
        <v>9</v>
      </c>
    </row>
    <row r="220" spans="1:10" x14ac:dyDescent="0.2">
      <c r="A220" s="1" t="s">
        <v>263</v>
      </c>
      <c r="B220" s="1" t="s">
        <v>420</v>
      </c>
      <c r="C220" s="1">
        <v>999.0043999999989</v>
      </c>
      <c r="D220" s="1">
        <f t="shared" si="6"/>
        <v>999</v>
      </c>
      <c r="E220" s="1" t="str">
        <f>VLOOKUP(D220,'Level Key'!$A$1:$B$7,2,FALSE)</f>
        <v>TESTING / LEVEL UNASSIGNED</v>
      </c>
      <c r="F220" s="1" t="s">
        <v>133</v>
      </c>
      <c r="G220" s="2">
        <v>46038</v>
      </c>
      <c r="H220" s="1">
        <v>237</v>
      </c>
      <c r="I220" s="1">
        <f t="shared" si="7"/>
        <v>4</v>
      </c>
      <c r="J220" s="1">
        <f>LEN(Table1[[#This Row],[Final_Word]])</f>
        <v>9</v>
      </c>
    </row>
    <row r="221" spans="1:10" x14ac:dyDescent="0.2">
      <c r="A221" s="1" t="s">
        <v>421</v>
      </c>
      <c r="B221" s="1" t="s">
        <v>422</v>
      </c>
      <c r="C221" s="1">
        <v>999.00449999999887</v>
      </c>
      <c r="D221" s="1">
        <f t="shared" si="6"/>
        <v>999</v>
      </c>
      <c r="E221" s="1" t="str">
        <f>VLOOKUP(D221,'Level Key'!$A$1:$B$7,2,FALSE)</f>
        <v>TESTING / LEVEL UNASSIGNED</v>
      </c>
      <c r="F221" s="1" t="s">
        <v>133</v>
      </c>
      <c r="G221" s="2">
        <v>46039</v>
      </c>
      <c r="H221" s="1">
        <v>238</v>
      </c>
      <c r="I221" s="1">
        <f t="shared" si="7"/>
        <v>4</v>
      </c>
      <c r="J221" s="1">
        <f>LEN(Table1[[#This Row],[Final_Word]])</f>
        <v>8</v>
      </c>
    </row>
    <row r="222" spans="1:10" x14ac:dyDescent="0.2">
      <c r="A222" s="1" t="s">
        <v>392</v>
      </c>
      <c r="B222" s="1" t="s">
        <v>423</v>
      </c>
      <c r="C222" s="1">
        <v>999.00459999999885</v>
      </c>
      <c r="D222" s="1">
        <f t="shared" si="6"/>
        <v>999</v>
      </c>
      <c r="E222" s="1" t="str">
        <f>VLOOKUP(D222,'Level Key'!$A$1:$B$7,2,FALSE)</f>
        <v>TESTING / LEVEL UNASSIGNED</v>
      </c>
      <c r="F222" s="1" t="s">
        <v>133</v>
      </c>
      <c r="G222" s="2">
        <v>46040</v>
      </c>
      <c r="H222" s="1">
        <v>239</v>
      </c>
      <c r="I222" s="1">
        <f t="shared" si="7"/>
        <v>4</v>
      </c>
      <c r="J222" s="1">
        <f>LEN(Table1[[#This Row],[Final_Word]])</f>
        <v>9</v>
      </c>
    </row>
    <row r="223" spans="1:10" x14ac:dyDescent="0.2">
      <c r="A223" s="1" t="s">
        <v>505</v>
      </c>
      <c r="B223" s="1" t="s">
        <v>423</v>
      </c>
      <c r="C223" s="1">
        <v>999.00469999999882</v>
      </c>
      <c r="D223" s="1">
        <f t="shared" si="6"/>
        <v>999</v>
      </c>
      <c r="E223" s="1" t="str">
        <f>VLOOKUP(D223,'Level Key'!$A$1:$B$7,2,FALSE)</f>
        <v>TESTING / LEVEL UNASSIGNED</v>
      </c>
      <c r="F223" s="1" t="s">
        <v>133</v>
      </c>
      <c r="G223" s="2">
        <v>46041</v>
      </c>
      <c r="H223" s="1">
        <v>240</v>
      </c>
      <c r="I223" s="1">
        <f t="shared" si="7"/>
        <v>3</v>
      </c>
      <c r="J223" s="1">
        <f>LEN(Table1[[#This Row],[Final_Word]])</f>
        <v>9</v>
      </c>
    </row>
    <row r="224" spans="1:10" x14ac:dyDescent="0.2">
      <c r="A224" s="1" t="s">
        <v>424</v>
      </c>
      <c r="B224" s="1" t="s">
        <v>425</v>
      </c>
      <c r="C224" s="1">
        <v>999.0047999999988</v>
      </c>
      <c r="D224" s="1">
        <f t="shared" si="6"/>
        <v>999</v>
      </c>
      <c r="E224" s="1" t="str">
        <f>VLOOKUP(D224,'Level Key'!$A$1:$B$7,2,FALSE)</f>
        <v>TESTING / LEVEL UNASSIGNED</v>
      </c>
      <c r="F224" s="1" t="s">
        <v>133</v>
      </c>
      <c r="G224" s="2">
        <v>46042</v>
      </c>
      <c r="H224" s="1">
        <v>241</v>
      </c>
      <c r="I224" s="1">
        <f t="shared" si="7"/>
        <v>4</v>
      </c>
      <c r="J224" s="1">
        <f>LEN(Table1[[#This Row],[Final_Word]])</f>
        <v>9</v>
      </c>
    </row>
    <row r="225" spans="1:10" x14ac:dyDescent="0.2">
      <c r="A225" s="1" t="s">
        <v>426</v>
      </c>
      <c r="B225" s="1" t="s">
        <v>427</v>
      </c>
      <c r="C225" s="1">
        <v>999.00489999999877</v>
      </c>
      <c r="D225" s="1">
        <f t="shared" si="6"/>
        <v>999</v>
      </c>
      <c r="E225" s="1" t="str">
        <f>VLOOKUP(D225,'Level Key'!$A$1:$B$7,2,FALSE)</f>
        <v>TESTING / LEVEL UNASSIGNED</v>
      </c>
      <c r="F225" s="1" t="s">
        <v>133</v>
      </c>
      <c r="G225" s="2">
        <v>46043</v>
      </c>
      <c r="H225" s="1">
        <v>242</v>
      </c>
      <c r="I225" s="1">
        <f t="shared" si="7"/>
        <v>4</v>
      </c>
      <c r="J225" s="1">
        <f>LEN(Table1[[#This Row],[Final_Word]])</f>
        <v>9</v>
      </c>
    </row>
    <row r="226" spans="1:10" x14ac:dyDescent="0.2">
      <c r="A226" s="1" t="s">
        <v>428</v>
      </c>
      <c r="B226" s="1" t="s">
        <v>429</v>
      </c>
      <c r="C226" s="1">
        <v>999.00499999999874</v>
      </c>
      <c r="D226" s="1">
        <f t="shared" si="6"/>
        <v>999</v>
      </c>
      <c r="E226" s="1" t="str">
        <f>VLOOKUP(D226,'Level Key'!$A$1:$B$7,2,FALSE)</f>
        <v>TESTING / LEVEL UNASSIGNED</v>
      </c>
      <c r="F226" s="1" t="s">
        <v>133</v>
      </c>
      <c r="G226" s="2">
        <v>46044</v>
      </c>
      <c r="H226" s="1">
        <v>243</v>
      </c>
      <c r="I226" s="1">
        <f t="shared" si="7"/>
        <v>4</v>
      </c>
      <c r="J226" s="1">
        <f>LEN(Table1[[#This Row],[Final_Word]])</f>
        <v>8</v>
      </c>
    </row>
    <row r="227" spans="1:10" x14ac:dyDescent="0.2">
      <c r="A227" s="1" t="s">
        <v>430</v>
      </c>
      <c r="B227" s="1" t="s">
        <v>431</v>
      </c>
      <c r="C227" s="1">
        <v>999.00509999999872</v>
      </c>
      <c r="D227" s="1">
        <f t="shared" si="6"/>
        <v>999</v>
      </c>
      <c r="E227" s="1" t="str">
        <f>VLOOKUP(D227,'Level Key'!$A$1:$B$7,2,FALSE)</f>
        <v>TESTING / LEVEL UNASSIGNED</v>
      </c>
      <c r="F227" s="1" t="s">
        <v>133</v>
      </c>
      <c r="G227" s="2">
        <v>46045</v>
      </c>
      <c r="H227" s="1">
        <v>244</v>
      </c>
      <c r="I227" s="1">
        <f t="shared" si="7"/>
        <v>4</v>
      </c>
      <c r="J227" s="1">
        <f>LEN(Table1[[#This Row],[Final_Word]])</f>
        <v>8</v>
      </c>
    </row>
    <row r="228" spans="1:10" x14ac:dyDescent="0.2">
      <c r="A228" s="1" t="s">
        <v>432</v>
      </c>
      <c r="B228" s="1" t="s">
        <v>433</v>
      </c>
      <c r="C228" s="1">
        <v>999.00519999999869</v>
      </c>
      <c r="D228" s="1">
        <f t="shared" si="6"/>
        <v>999</v>
      </c>
      <c r="E228" s="1" t="str">
        <f>VLOOKUP(D228,'Level Key'!$A$1:$B$7,2,FALSE)</f>
        <v>TESTING / LEVEL UNASSIGNED</v>
      </c>
      <c r="F228" s="1" t="s">
        <v>133</v>
      </c>
      <c r="G228" s="2">
        <v>46046</v>
      </c>
      <c r="H228" s="1">
        <v>245</v>
      </c>
      <c r="I228" s="1">
        <f t="shared" si="7"/>
        <v>4</v>
      </c>
      <c r="J228" s="1">
        <f>LEN(Table1[[#This Row],[Final_Word]])</f>
        <v>8</v>
      </c>
    </row>
    <row r="229" spans="1:10" x14ac:dyDescent="0.2">
      <c r="A229" s="1" t="s">
        <v>434</v>
      </c>
      <c r="B229" s="1" t="s">
        <v>435</v>
      </c>
      <c r="C229" s="1">
        <v>999.00529999999867</v>
      </c>
      <c r="D229" s="1">
        <f t="shared" si="6"/>
        <v>999</v>
      </c>
      <c r="E229" s="1" t="str">
        <f>VLOOKUP(D229,'Level Key'!$A$1:$B$7,2,FALSE)</f>
        <v>TESTING / LEVEL UNASSIGNED</v>
      </c>
      <c r="F229" s="1" t="s">
        <v>133</v>
      </c>
      <c r="G229" s="2">
        <v>46047</v>
      </c>
      <c r="H229" s="1">
        <v>246</v>
      </c>
      <c r="I229" s="1">
        <f t="shared" si="7"/>
        <v>4</v>
      </c>
      <c r="J229" s="1">
        <f>LEN(Table1[[#This Row],[Final_Word]])</f>
        <v>10</v>
      </c>
    </row>
    <row r="230" spans="1:10" x14ac:dyDescent="0.2">
      <c r="A230" s="1" t="s">
        <v>436</v>
      </c>
      <c r="B230" s="1" t="s">
        <v>437</v>
      </c>
      <c r="C230" s="1">
        <v>999.00539999999864</v>
      </c>
      <c r="D230" s="1">
        <f t="shared" si="6"/>
        <v>999</v>
      </c>
      <c r="E230" s="1" t="str">
        <f>VLOOKUP(D230,'Level Key'!$A$1:$B$7,2,FALSE)</f>
        <v>TESTING / LEVEL UNASSIGNED</v>
      </c>
      <c r="F230" s="1" t="s">
        <v>133</v>
      </c>
      <c r="G230" s="2">
        <v>46048</v>
      </c>
      <c r="H230" s="1">
        <v>247</v>
      </c>
      <c r="I230" s="1">
        <f t="shared" si="7"/>
        <v>4</v>
      </c>
      <c r="J230" s="1">
        <f>LEN(Table1[[#This Row],[Final_Word]])</f>
        <v>11</v>
      </c>
    </row>
    <row r="231" spans="1:10" x14ac:dyDescent="0.2">
      <c r="A231" s="1" t="s">
        <v>438</v>
      </c>
      <c r="B231" s="1" t="s">
        <v>439</v>
      </c>
      <c r="C231" s="1">
        <v>999.00549999999862</v>
      </c>
      <c r="D231" s="1">
        <f t="shared" si="6"/>
        <v>999</v>
      </c>
      <c r="E231" s="1" t="str">
        <f>VLOOKUP(D231,'Level Key'!$A$1:$B$7,2,FALSE)</f>
        <v>TESTING / LEVEL UNASSIGNED</v>
      </c>
      <c r="F231" s="1" t="s">
        <v>133</v>
      </c>
      <c r="G231" s="2">
        <v>46049</v>
      </c>
      <c r="H231" s="1">
        <v>248</v>
      </c>
      <c r="I231" s="1">
        <f t="shared" si="7"/>
        <v>3</v>
      </c>
      <c r="J231" s="1">
        <f>LEN(Table1[[#This Row],[Final_Word]])</f>
        <v>7</v>
      </c>
    </row>
    <row r="232" spans="1:10" x14ac:dyDescent="0.2">
      <c r="A232" s="1" t="s">
        <v>440</v>
      </c>
      <c r="B232" s="1" t="s">
        <v>441</v>
      </c>
      <c r="C232" s="1">
        <v>999.00559999999859</v>
      </c>
      <c r="D232" s="1">
        <f t="shared" si="6"/>
        <v>999</v>
      </c>
      <c r="E232" s="1" t="str">
        <f>VLOOKUP(D232,'Level Key'!$A$1:$B$7,2,FALSE)</f>
        <v>TESTING / LEVEL UNASSIGNED</v>
      </c>
      <c r="F232" s="1" t="s">
        <v>133</v>
      </c>
      <c r="G232" s="2">
        <v>46050</v>
      </c>
      <c r="H232" s="1">
        <v>249</v>
      </c>
      <c r="I232" s="1">
        <f t="shared" si="7"/>
        <v>3</v>
      </c>
      <c r="J232" s="1">
        <f>LEN(Table1[[#This Row],[Final_Word]])</f>
        <v>7</v>
      </c>
    </row>
    <row r="233" spans="1:10" x14ac:dyDescent="0.2">
      <c r="A233" s="1" t="s">
        <v>442</v>
      </c>
      <c r="B233" s="1" t="s">
        <v>443</v>
      </c>
      <c r="C233" s="1">
        <v>999.00569999999857</v>
      </c>
      <c r="D233" s="1">
        <f t="shared" si="6"/>
        <v>999</v>
      </c>
      <c r="E233" s="1" t="str">
        <f>VLOOKUP(D233,'Level Key'!$A$1:$B$7,2,FALSE)</f>
        <v>TESTING / LEVEL UNASSIGNED</v>
      </c>
      <c r="F233" s="1" t="s">
        <v>133</v>
      </c>
      <c r="G233" s="2">
        <v>46051</v>
      </c>
      <c r="H233" s="1">
        <v>250</v>
      </c>
      <c r="I233" s="1">
        <f t="shared" si="7"/>
        <v>4</v>
      </c>
      <c r="J233" s="1">
        <f>LEN(Table1[[#This Row],[Final_Word]])</f>
        <v>8</v>
      </c>
    </row>
    <row r="234" spans="1:10" x14ac:dyDescent="0.2">
      <c r="A234" s="1" t="s">
        <v>444</v>
      </c>
      <c r="B234" s="1" t="s">
        <v>445</v>
      </c>
      <c r="C234" s="1">
        <v>999.00579999999854</v>
      </c>
      <c r="D234" s="1">
        <f t="shared" si="6"/>
        <v>999</v>
      </c>
      <c r="E234" s="1" t="str">
        <f>VLOOKUP(D234,'Level Key'!$A$1:$B$7,2,FALSE)</f>
        <v>TESTING / LEVEL UNASSIGNED</v>
      </c>
      <c r="F234" s="1" t="s">
        <v>133</v>
      </c>
      <c r="G234" s="2">
        <v>46052</v>
      </c>
      <c r="H234" s="1">
        <v>251</v>
      </c>
      <c r="I234" s="1">
        <f t="shared" si="7"/>
        <v>3</v>
      </c>
      <c r="J234" s="1">
        <f>LEN(Table1[[#This Row],[Final_Word]])</f>
        <v>8</v>
      </c>
    </row>
    <row r="235" spans="1:10" x14ac:dyDescent="0.2">
      <c r="A235" s="1" t="s">
        <v>338</v>
      </c>
      <c r="B235" s="1" t="s">
        <v>446</v>
      </c>
      <c r="C235" s="1">
        <v>999.00589999999852</v>
      </c>
      <c r="D235" s="1">
        <f t="shared" si="6"/>
        <v>999</v>
      </c>
      <c r="E235" s="1" t="str">
        <f>VLOOKUP(D235,'Level Key'!$A$1:$B$7,2,FALSE)</f>
        <v>TESTING / LEVEL UNASSIGNED</v>
      </c>
      <c r="F235" s="1" t="s">
        <v>133</v>
      </c>
      <c r="G235" s="2">
        <v>46053</v>
      </c>
      <c r="H235" s="1">
        <v>252</v>
      </c>
      <c r="I235" s="1">
        <f t="shared" si="7"/>
        <v>4</v>
      </c>
      <c r="J235" s="1">
        <f>LEN(Table1[[#This Row],[Final_Word]])</f>
        <v>8</v>
      </c>
    </row>
    <row r="236" spans="1:10" x14ac:dyDescent="0.2">
      <c r="A236" s="1" t="s">
        <v>447</v>
      </c>
      <c r="B236" s="1" t="s">
        <v>506</v>
      </c>
      <c r="C236" s="1">
        <v>999.00599999999849</v>
      </c>
      <c r="D236" s="1">
        <f t="shared" si="6"/>
        <v>999</v>
      </c>
      <c r="E236" s="1" t="str">
        <f>VLOOKUP(D236,'Level Key'!$A$1:$B$7,2,FALSE)</f>
        <v>TESTING / LEVEL UNASSIGNED</v>
      </c>
      <c r="F236" s="1" t="s">
        <v>133</v>
      </c>
      <c r="G236" s="2">
        <v>46054</v>
      </c>
      <c r="H236" s="1">
        <v>253</v>
      </c>
      <c r="I236" s="1">
        <f t="shared" si="7"/>
        <v>4</v>
      </c>
      <c r="J236" s="1">
        <f>LEN(Table1[[#This Row],[Final_Word]])</f>
        <v>8</v>
      </c>
    </row>
    <row r="237" spans="1:10" x14ac:dyDescent="0.2">
      <c r="A237" s="1" t="s">
        <v>449</v>
      </c>
      <c r="B237" s="1" t="s">
        <v>450</v>
      </c>
      <c r="C237" s="1">
        <v>999.00609999999847</v>
      </c>
      <c r="D237" s="1">
        <f t="shared" si="6"/>
        <v>999</v>
      </c>
      <c r="E237" s="1" t="str">
        <f>VLOOKUP(D237,'Level Key'!$A$1:$B$7,2,FALSE)</f>
        <v>TESTING / LEVEL UNASSIGNED</v>
      </c>
      <c r="F237" s="1" t="s">
        <v>133</v>
      </c>
      <c r="G237" s="2">
        <v>46055</v>
      </c>
      <c r="H237" s="1">
        <v>254</v>
      </c>
      <c r="I237" s="1">
        <f t="shared" si="7"/>
        <v>4</v>
      </c>
      <c r="J237" s="1">
        <f>LEN(Table1[[#This Row],[Final_Word]])</f>
        <v>8</v>
      </c>
    </row>
    <row r="238" spans="1:10" x14ac:dyDescent="0.2">
      <c r="A238" s="1" t="s">
        <v>451</v>
      </c>
      <c r="B238" s="1" t="s">
        <v>508</v>
      </c>
      <c r="C238" s="1">
        <v>999.00619999999844</v>
      </c>
      <c r="D238" s="1">
        <f t="shared" si="6"/>
        <v>999</v>
      </c>
      <c r="E238" s="1" t="str">
        <f>VLOOKUP(D238,'Level Key'!$A$1:$B$7,2,FALSE)</f>
        <v>TESTING / LEVEL UNASSIGNED</v>
      </c>
      <c r="F238" s="1" t="s">
        <v>133</v>
      </c>
      <c r="G238" s="2">
        <v>46056</v>
      </c>
      <c r="H238" s="1">
        <v>255</v>
      </c>
      <c r="I238" s="1">
        <f t="shared" si="7"/>
        <v>4</v>
      </c>
      <c r="J238" s="1">
        <f>LEN(Table1[[#This Row],[Final_Word]])</f>
        <v>9</v>
      </c>
    </row>
    <row r="239" spans="1:10" x14ac:dyDescent="0.2">
      <c r="A239" s="1" t="s">
        <v>452</v>
      </c>
      <c r="B239" s="1" t="s">
        <v>453</v>
      </c>
      <c r="C239" s="1">
        <v>999.00629999999842</v>
      </c>
      <c r="D239" s="1">
        <f t="shared" si="6"/>
        <v>999</v>
      </c>
      <c r="E239" s="1" t="str">
        <f>VLOOKUP(D239,'Level Key'!$A$1:$B$7,2,FALSE)</f>
        <v>TESTING / LEVEL UNASSIGNED</v>
      </c>
      <c r="F239" s="1" t="s">
        <v>133</v>
      </c>
      <c r="G239" s="2">
        <v>46057</v>
      </c>
      <c r="H239" s="1">
        <v>256</v>
      </c>
      <c r="I239" s="1">
        <f t="shared" si="7"/>
        <v>2</v>
      </c>
      <c r="J239" s="1">
        <f>LEN(Table1[[#This Row],[Final_Word]])</f>
        <v>7</v>
      </c>
    </row>
    <row r="240" spans="1:10" x14ac:dyDescent="0.2">
      <c r="A240" s="1" t="s">
        <v>454</v>
      </c>
      <c r="B240" s="1" t="s">
        <v>455</v>
      </c>
      <c r="C240" s="1">
        <v>999.00639999999839</v>
      </c>
      <c r="D240" s="1">
        <f t="shared" si="6"/>
        <v>999</v>
      </c>
      <c r="E240" s="1" t="str">
        <f>VLOOKUP(D240,'Level Key'!$A$1:$B$7,2,FALSE)</f>
        <v>TESTING / LEVEL UNASSIGNED</v>
      </c>
      <c r="F240" s="1" t="s">
        <v>133</v>
      </c>
      <c r="G240" s="2">
        <v>46058</v>
      </c>
      <c r="H240" s="1">
        <v>257</v>
      </c>
      <c r="I240" s="1">
        <f t="shared" si="7"/>
        <v>3</v>
      </c>
      <c r="J240" s="1">
        <f>LEN(Table1[[#This Row],[Final_Word]])</f>
        <v>7</v>
      </c>
    </row>
    <row r="241" spans="1:10" x14ac:dyDescent="0.2">
      <c r="A241" s="1" t="s">
        <v>30</v>
      </c>
      <c r="B241" s="1" t="s">
        <v>456</v>
      </c>
      <c r="C241" s="1">
        <v>999.00649999999837</v>
      </c>
      <c r="D241" s="1">
        <f t="shared" si="6"/>
        <v>999</v>
      </c>
      <c r="E241" s="1" t="str">
        <f>VLOOKUP(D241,'Level Key'!$A$1:$B$7,2,FALSE)</f>
        <v>TESTING / LEVEL UNASSIGNED</v>
      </c>
      <c r="F241" s="1" t="s">
        <v>133</v>
      </c>
      <c r="G241" s="2">
        <v>46059</v>
      </c>
      <c r="H241" s="1">
        <v>258</v>
      </c>
      <c r="I241" s="1">
        <f t="shared" si="7"/>
        <v>2</v>
      </c>
      <c r="J241" s="1">
        <f>LEN(Table1[[#This Row],[Final_Word]])</f>
        <v>6</v>
      </c>
    </row>
    <row r="242" spans="1:10" x14ac:dyDescent="0.2">
      <c r="A242" s="1" t="s">
        <v>457</v>
      </c>
      <c r="B242" s="1" t="s">
        <v>458</v>
      </c>
      <c r="C242" s="1">
        <v>999.00659999999834</v>
      </c>
      <c r="D242" s="1">
        <f t="shared" si="6"/>
        <v>999</v>
      </c>
      <c r="E242" s="1" t="str">
        <f>VLOOKUP(D242,'Level Key'!$A$1:$B$7,2,FALSE)</f>
        <v>TESTING / LEVEL UNASSIGNED</v>
      </c>
      <c r="F242" s="1" t="s">
        <v>133</v>
      </c>
      <c r="G242" s="2">
        <v>46060</v>
      </c>
      <c r="H242" s="1">
        <v>259</v>
      </c>
      <c r="I242" s="1">
        <f t="shared" si="7"/>
        <v>4</v>
      </c>
      <c r="J242" s="1">
        <f>LEN(Table1[[#This Row],[Final_Word]])</f>
        <v>7</v>
      </c>
    </row>
    <row r="243" spans="1:10" x14ac:dyDescent="0.2">
      <c r="A243" s="1" t="s">
        <v>459</v>
      </c>
      <c r="B243" s="1" t="s">
        <v>460</v>
      </c>
      <c r="C243" s="1">
        <v>999.00669999999832</v>
      </c>
      <c r="D243" s="1">
        <f t="shared" si="6"/>
        <v>999</v>
      </c>
      <c r="E243" s="1" t="str">
        <f>VLOOKUP(D243,'Level Key'!$A$1:$B$7,2,FALSE)</f>
        <v>TESTING / LEVEL UNASSIGNED</v>
      </c>
      <c r="F243" s="1" t="s">
        <v>133</v>
      </c>
      <c r="G243" s="2">
        <v>46061</v>
      </c>
      <c r="H243" s="1">
        <v>260</v>
      </c>
      <c r="I243" s="1">
        <f t="shared" si="7"/>
        <v>4</v>
      </c>
      <c r="J243" s="1">
        <f>LEN(Table1[[#This Row],[Final_Word]])</f>
        <v>7</v>
      </c>
    </row>
    <row r="244" spans="1:10" x14ac:dyDescent="0.2">
      <c r="A244" s="1" t="s">
        <v>503</v>
      </c>
      <c r="B244" s="1" t="s">
        <v>461</v>
      </c>
      <c r="C244" s="1">
        <v>999.00679999999829</v>
      </c>
      <c r="D244" s="1">
        <f t="shared" si="6"/>
        <v>999</v>
      </c>
      <c r="E244" s="1" t="str">
        <f>VLOOKUP(D244,'Level Key'!$A$1:$B$7,2,FALSE)</f>
        <v>TESTING / LEVEL UNASSIGNED</v>
      </c>
      <c r="F244" s="1" t="s">
        <v>133</v>
      </c>
      <c r="G244" s="2">
        <v>46062</v>
      </c>
      <c r="H244" s="1">
        <v>261</v>
      </c>
      <c r="I244" s="1">
        <f t="shared" si="7"/>
        <v>4</v>
      </c>
      <c r="J244" s="1">
        <f>LEN(Table1[[#This Row],[Final_Word]])</f>
        <v>9</v>
      </c>
    </row>
    <row r="245" spans="1:10" x14ac:dyDescent="0.2">
      <c r="A245" s="1" t="s">
        <v>462</v>
      </c>
      <c r="B245" s="1" t="s">
        <v>463</v>
      </c>
      <c r="C245" s="1">
        <v>999.00689999999827</v>
      </c>
      <c r="D245" s="1">
        <f t="shared" si="6"/>
        <v>999</v>
      </c>
      <c r="E245" s="1" t="str">
        <f>VLOOKUP(D245,'Level Key'!$A$1:$B$7,2,FALSE)</f>
        <v>TESTING / LEVEL UNASSIGNED</v>
      </c>
      <c r="F245" s="1" t="s">
        <v>133</v>
      </c>
      <c r="G245" s="2">
        <v>46063</v>
      </c>
      <c r="H245" s="1">
        <v>262</v>
      </c>
      <c r="I245" s="1">
        <f t="shared" si="7"/>
        <v>4</v>
      </c>
      <c r="J245" s="1">
        <f>LEN(Table1[[#This Row],[Final_Word]])</f>
        <v>7</v>
      </c>
    </row>
    <row r="246" spans="1:10" x14ac:dyDescent="0.2">
      <c r="A246" s="1" t="s">
        <v>464</v>
      </c>
      <c r="B246" s="1" t="s">
        <v>465</v>
      </c>
      <c r="C246" s="1">
        <v>999.00699999999824</v>
      </c>
      <c r="D246" s="1">
        <f t="shared" si="6"/>
        <v>999</v>
      </c>
      <c r="E246" s="1" t="str">
        <f>VLOOKUP(D246,'Level Key'!$A$1:$B$7,2,FALSE)</f>
        <v>TESTING / LEVEL UNASSIGNED</v>
      </c>
      <c r="F246" s="1" t="s">
        <v>133</v>
      </c>
      <c r="G246" s="2">
        <v>46064</v>
      </c>
      <c r="H246" s="1">
        <v>263</v>
      </c>
      <c r="I246" s="1">
        <f t="shared" si="7"/>
        <v>4</v>
      </c>
      <c r="J246" s="1">
        <f>LEN(Table1[[#This Row],[Final_Word]])</f>
        <v>8</v>
      </c>
    </row>
    <row r="247" spans="1:10" x14ac:dyDescent="0.2">
      <c r="A247" s="1" t="s">
        <v>466</v>
      </c>
      <c r="B247" s="1" t="s">
        <v>467</v>
      </c>
      <c r="C247" s="1">
        <v>999.00709999999822</v>
      </c>
      <c r="D247" s="1">
        <f t="shared" si="6"/>
        <v>999</v>
      </c>
      <c r="E247" s="1" t="str">
        <f>VLOOKUP(D247,'Level Key'!$A$1:$B$7,2,FALSE)</f>
        <v>TESTING / LEVEL UNASSIGNED</v>
      </c>
      <c r="F247" s="1" t="s">
        <v>133</v>
      </c>
      <c r="G247" s="2">
        <v>46065</v>
      </c>
      <c r="H247" s="1">
        <v>264</v>
      </c>
      <c r="I247" s="1">
        <f t="shared" si="7"/>
        <v>4</v>
      </c>
      <c r="J247" s="1">
        <f>LEN(Table1[[#This Row],[Final_Word]])</f>
        <v>9</v>
      </c>
    </row>
    <row r="248" spans="1:10" x14ac:dyDescent="0.2">
      <c r="A248" s="1" t="s">
        <v>468</v>
      </c>
      <c r="B248" s="1" t="s">
        <v>469</v>
      </c>
      <c r="C248" s="1">
        <v>999.00729999999817</v>
      </c>
      <c r="D248" s="1">
        <f t="shared" si="6"/>
        <v>999</v>
      </c>
      <c r="E248" s="1" t="str">
        <f>VLOOKUP(D248,'Level Key'!$A$1:$B$7,2,FALSE)</f>
        <v>TESTING / LEVEL UNASSIGNED</v>
      </c>
      <c r="F248" s="1" t="s">
        <v>133</v>
      </c>
      <c r="G248" s="2">
        <v>46066</v>
      </c>
      <c r="H248" s="1">
        <v>266</v>
      </c>
      <c r="I248" s="1">
        <f t="shared" si="7"/>
        <v>4</v>
      </c>
      <c r="J248" s="1">
        <f>LEN(Table1[[#This Row],[Final_Word]])</f>
        <v>9</v>
      </c>
    </row>
    <row r="249" spans="1:10" x14ac:dyDescent="0.2">
      <c r="A249" s="1" t="s">
        <v>470</v>
      </c>
      <c r="B249" s="1" t="s">
        <v>471</v>
      </c>
      <c r="C249" s="1">
        <v>999.00739999999814</v>
      </c>
      <c r="D249" s="1">
        <f t="shared" si="6"/>
        <v>999</v>
      </c>
      <c r="E249" s="1" t="str">
        <f>VLOOKUP(D249,'Level Key'!$A$1:$B$7,2,FALSE)</f>
        <v>TESTING / LEVEL UNASSIGNED</v>
      </c>
      <c r="F249" s="1" t="s">
        <v>133</v>
      </c>
      <c r="G249" s="2">
        <v>46067</v>
      </c>
      <c r="H249" s="1">
        <v>267</v>
      </c>
      <c r="I249" s="1">
        <f t="shared" si="7"/>
        <v>4</v>
      </c>
      <c r="J249" s="1">
        <f>LEN(Table1[[#This Row],[Final_Word]])</f>
        <v>7</v>
      </c>
    </row>
    <row r="250" spans="1:10" x14ac:dyDescent="0.2">
      <c r="A250" s="1" t="s">
        <v>472</v>
      </c>
      <c r="B250" s="1" t="s">
        <v>473</v>
      </c>
      <c r="C250" s="1">
        <v>999.00749999999812</v>
      </c>
      <c r="D250" s="1">
        <f t="shared" si="6"/>
        <v>999</v>
      </c>
      <c r="E250" s="1" t="str">
        <f>VLOOKUP(D250,'Level Key'!$A$1:$B$7,2,FALSE)</f>
        <v>TESTING / LEVEL UNASSIGNED</v>
      </c>
      <c r="F250" s="1" t="s">
        <v>133</v>
      </c>
      <c r="G250" s="2">
        <v>46068</v>
      </c>
      <c r="H250" s="1">
        <v>268</v>
      </c>
      <c r="I250" s="1">
        <f t="shared" si="7"/>
        <v>4</v>
      </c>
      <c r="J250" s="1">
        <f>LEN(Table1[[#This Row],[Final_Word]])</f>
        <v>8</v>
      </c>
    </row>
    <row r="251" spans="1:10" x14ac:dyDescent="0.2">
      <c r="A251" s="1" t="s">
        <v>474</v>
      </c>
      <c r="B251" s="1" t="s">
        <v>475</v>
      </c>
      <c r="C251" s="1">
        <v>999.00759999999809</v>
      </c>
      <c r="D251" s="1">
        <f t="shared" si="6"/>
        <v>999</v>
      </c>
      <c r="E251" s="1" t="str">
        <f>VLOOKUP(D251,'Level Key'!$A$1:$B$7,2,FALSE)</f>
        <v>TESTING / LEVEL UNASSIGNED</v>
      </c>
      <c r="F251" s="1" t="s">
        <v>133</v>
      </c>
      <c r="G251" s="2">
        <v>46069</v>
      </c>
      <c r="H251" s="1">
        <v>269</v>
      </c>
      <c r="I251" s="1">
        <f t="shared" si="7"/>
        <v>3</v>
      </c>
      <c r="J251" s="1">
        <f>LEN(Table1[[#This Row],[Final_Word]])</f>
        <v>7</v>
      </c>
    </row>
    <row r="252" spans="1:10" x14ac:dyDescent="0.2">
      <c r="A252" s="1" t="s">
        <v>476</v>
      </c>
      <c r="B252" s="1" t="s">
        <v>477</v>
      </c>
      <c r="C252" s="1">
        <v>999.00769999999807</v>
      </c>
      <c r="D252" s="1">
        <f t="shared" si="6"/>
        <v>999</v>
      </c>
      <c r="E252" s="1" t="str">
        <f>VLOOKUP(D252,'Level Key'!$A$1:$B$7,2,FALSE)</f>
        <v>TESTING / LEVEL UNASSIGNED</v>
      </c>
      <c r="F252" s="1" t="s">
        <v>133</v>
      </c>
      <c r="G252" s="2">
        <v>46070</v>
      </c>
      <c r="H252" s="1">
        <v>270</v>
      </c>
      <c r="I252" s="1">
        <f t="shared" si="7"/>
        <v>2</v>
      </c>
      <c r="J252" s="1">
        <f>LEN(Table1[[#This Row],[Final_Word]])</f>
        <v>7</v>
      </c>
    </row>
    <row r="253" spans="1:10" x14ac:dyDescent="0.2">
      <c r="A253" s="1" t="s">
        <v>478</v>
      </c>
      <c r="B253" s="1" t="s">
        <v>479</v>
      </c>
      <c r="C253" s="1">
        <v>999.00779999999804</v>
      </c>
      <c r="D253" s="1">
        <f t="shared" si="6"/>
        <v>999</v>
      </c>
      <c r="E253" s="1" t="str">
        <f>VLOOKUP(D253,'Level Key'!$A$1:$B$7,2,FALSE)</f>
        <v>TESTING / LEVEL UNASSIGNED</v>
      </c>
      <c r="F253" s="1" t="s">
        <v>133</v>
      </c>
      <c r="G253" s="2">
        <v>46071</v>
      </c>
      <c r="H253" s="1">
        <v>271</v>
      </c>
      <c r="I253" s="1">
        <f t="shared" si="7"/>
        <v>4</v>
      </c>
      <c r="J253" s="1">
        <f>LEN(Table1[[#This Row],[Final_Word]])</f>
        <v>10</v>
      </c>
    </row>
    <row r="254" spans="1:10" x14ac:dyDescent="0.2">
      <c r="A254" s="1" t="s">
        <v>161</v>
      </c>
      <c r="B254" s="1" t="s">
        <v>480</v>
      </c>
      <c r="C254" s="1">
        <v>999.00789999999802</v>
      </c>
      <c r="D254" s="1">
        <f t="shared" si="6"/>
        <v>999</v>
      </c>
      <c r="E254" s="1" t="str">
        <f>VLOOKUP(D254,'Level Key'!$A$1:$B$7,2,FALSE)</f>
        <v>TESTING / LEVEL UNASSIGNED</v>
      </c>
      <c r="F254" s="1" t="s">
        <v>133</v>
      </c>
      <c r="G254" s="2">
        <v>46072</v>
      </c>
      <c r="H254" s="1">
        <v>272</v>
      </c>
      <c r="I254" s="1">
        <f t="shared" si="7"/>
        <v>4</v>
      </c>
      <c r="J254" s="1">
        <f>LEN(Table1[[#This Row],[Final_Word]])</f>
        <v>8</v>
      </c>
    </row>
    <row r="255" spans="1:10" x14ac:dyDescent="0.2">
      <c r="A255" s="1" t="s">
        <v>318</v>
      </c>
      <c r="B255" s="1" t="s">
        <v>481</v>
      </c>
      <c r="C255" s="1">
        <v>999.00799999999799</v>
      </c>
      <c r="D255" s="1">
        <f t="shared" si="6"/>
        <v>999</v>
      </c>
      <c r="E255" s="1" t="str">
        <f>VLOOKUP(D255,'Level Key'!$A$1:$B$7,2,FALSE)</f>
        <v>TESTING / LEVEL UNASSIGNED</v>
      </c>
      <c r="F255" s="1" t="s">
        <v>133</v>
      </c>
      <c r="G255" s="2">
        <v>46073</v>
      </c>
      <c r="H255" s="1">
        <v>273</v>
      </c>
      <c r="I255" s="1">
        <f t="shared" si="7"/>
        <v>4</v>
      </c>
      <c r="J255" s="1">
        <f>LEN(Table1[[#This Row],[Final_Word]])</f>
        <v>7</v>
      </c>
    </row>
    <row r="256" spans="1:10" x14ac:dyDescent="0.2">
      <c r="A256" s="1" t="s">
        <v>482</v>
      </c>
      <c r="B256" s="1" t="s">
        <v>483</v>
      </c>
      <c r="C256" s="1">
        <v>999.00809999999797</v>
      </c>
      <c r="D256" s="1">
        <f t="shared" si="6"/>
        <v>999</v>
      </c>
      <c r="E256" s="1" t="str">
        <f>VLOOKUP(D256,'Level Key'!$A$1:$B$7,2,FALSE)</f>
        <v>TESTING / LEVEL UNASSIGNED</v>
      </c>
      <c r="F256" s="1" t="s">
        <v>133</v>
      </c>
      <c r="G256" s="2">
        <v>46074</v>
      </c>
      <c r="H256" s="1">
        <v>274</v>
      </c>
      <c r="I256" s="1">
        <f t="shared" si="7"/>
        <v>4</v>
      </c>
      <c r="J256" s="1">
        <f>LEN(Table1[[#This Row],[Final_Word]])</f>
        <v>8</v>
      </c>
    </row>
    <row r="257" spans="1:10" x14ac:dyDescent="0.2">
      <c r="A257" s="1" t="s">
        <v>484</v>
      </c>
      <c r="B257" s="1" t="s">
        <v>485</v>
      </c>
      <c r="C257" s="1">
        <v>999.00819999999794</v>
      </c>
      <c r="D257" s="1">
        <f t="shared" si="6"/>
        <v>999</v>
      </c>
      <c r="E257" s="1" t="str">
        <f>VLOOKUP(D257,'Level Key'!$A$1:$B$7,2,FALSE)</f>
        <v>TESTING / LEVEL UNASSIGNED</v>
      </c>
      <c r="F257" s="1" t="s">
        <v>133</v>
      </c>
      <c r="G257" s="2">
        <v>46075</v>
      </c>
      <c r="H257" s="1">
        <v>275</v>
      </c>
      <c r="I257" s="1">
        <f t="shared" si="7"/>
        <v>4</v>
      </c>
      <c r="J257" s="1">
        <f>LEN(Table1[[#This Row],[Final_Word]])</f>
        <v>8</v>
      </c>
    </row>
    <row r="258" spans="1:10" x14ac:dyDescent="0.2">
      <c r="A258" s="1" t="s">
        <v>486</v>
      </c>
      <c r="B258" s="1" t="s">
        <v>487</v>
      </c>
      <c r="C258" s="1">
        <v>999.00829999999792</v>
      </c>
      <c r="D258" s="1">
        <f t="shared" ref="D258:D321" si="8">ROUNDDOWN(C258,0)</f>
        <v>999</v>
      </c>
      <c r="E258" s="1" t="str">
        <f>VLOOKUP(D258,'Level Key'!$A$1:$B$7,2,FALSE)</f>
        <v>TESTING / LEVEL UNASSIGNED</v>
      </c>
      <c r="F258" s="1" t="s">
        <v>133</v>
      </c>
      <c r="G258" s="2">
        <v>46076</v>
      </c>
      <c r="H258" s="1">
        <v>276</v>
      </c>
      <c r="I258" s="1">
        <f t="shared" ref="I258:I284" si="9">LEN(A258)</f>
        <v>4</v>
      </c>
      <c r="J258" s="1">
        <f>LEN(Table1[[#This Row],[Final_Word]])</f>
        <v>9</v>
      </c>
    </row>
    <row r="259" spans="1:10" x14ac:dyDescent="0.2">
      <c r="A259" s="1" t="s">
        <v>488</v>
      </c>
      <c r="B259" s="1" t="s">
        <v>489</v>
      </c>
      <c r="C259" s="1">
        <v>999.00839999999789</v>
      </c>
      <c r="D259" s="1">
        <f t="shared" si="8"/>
        <v>999</v>
      </c>
      <c r="E259" s="1" t="str">
        <f>VLOOKUP(D259,'Level Key'!$A$1:$B$7,2,FALSE)</f>
        <v>TESTING / LEVEL UNASSIGNED</v>
      </c>
      <c r="F259" s="1" t="s">
        <v>133</v>
      </c>
      <c r="G259" s="2">
        <v>46077</v>
      </c>
      <c r="H259" s="1">
        <v>277</v>
      </c>
      <c r="I259" s="1">
        <f t="shared" si="9"/>
        <v>4</v>
      </c>
      <c r="J259" s="1">
        <f>LEN(Table1[[#This Row],[Final_Word]])</f>
        <v>8</v>
      </c>
    </row>
    <row r="260" spans="1:10" x14ac:dyDescent="0.2">
      <c r="A260" s="1" t="s">
        <v>490</v>
      </c>
      <c r="B260" s="1" t="s">
        <v>491</v>
      </c>
      <c r="C260" s="1">
        <v>999.00849999999787</v>
      </c>
      <c r="D260" s="1">
        <f t="shared" si="8"/>
        <v>999</v>
      </c>
      <c r="E260" s="1" t="str">
        <f>VLOOKUP(D260,'Level Key'!$A$1:$B$7,2,FALSE)</f>
        <v>TESTING / LEVEL UNASSIGNED</v>
      </c>
      <c r="F260" s="1" t="s">
        <v>133</v>
      </c>
      <c r="G260" s="2">
        <v>46078</v>
      </c>
      <c r="H260" s="1">
        <v>278</v>
      </c>
      <c r="I260" s="1">
        <f t="shared" si="9"/>
        <v>4</v>
      </c>
      <c r="J260" s="1">
        <f>LEN(Table1[[#This Row],[Final_Word]])</f>
        <v>10</v>
      </c>
    </row>
    <row r="261" spans="1:10" x14ac:dyDescent="0.2">
      <c r="A261" s="1" t="s">
        <v>492</v>
      </c>
      <c r="B261" s="1" t="s">
        <v>493</v>
      </c>
      <c r="C261" s="1">
        <v>999.00859999999784</v>
      </c>
      <c r="D261" s="1">
        <f t="shared" si="8"/>
        <v>999</v>
      </c>
      <c r="E261" s="1" t="str">
        <f>VLOOKUP(D261,'Level Key'!$A$1:$B$7,2,FALSE)</f>
        <v>TESTING / LEVEL UNASSIGNED</v>
      </c>
      <c r="F261" s="1" t="s">
        <v>133</v>
      </c>
      <c r="G261" s="2">
        <v>46079</v>
      </c>
      <c r="H261" s="1">
        <v>279</v>
      </c>
      <c r="I261" s="1">
        <f t="shared" si="9"/>
        <v>4</v>
      </c>
      <c r="J261" s="1">
        <f>LEN(Table1[[#This Row],[Final_Word]])</f>
        <v>9</v>
      </c>
    </row>
    <row r="262" spans="1:10" x14ac:dyDescent="0.2">
      <c r="A262" s="1" t="s">
        <v>494</v>
      </c>
      <c r="B262" s="1" t="s">
        <v>495</v>
      </c>
      <c r="C262" s="1">
        <v>999.00869999999782</v>
      </c>
      <c r="D262" s="1">
        <f t="shared" si="8"/>
        <v>999</v>
      </c>
      <c r="E262" s="1" t="str">
        <f>VLOOKUP(D262,'Level Key'!$A$1:$B$7,2,FALSE)</f>
        <v>TESTING / LEVEL UNASSIGNED</v>
      </c>
      <c r="F262" s="1" t="s">
        <v>133</v>
      </c>
      <c r="G262" s="2">
        <v>46080</v>
      </c>
      <c r="H262" s="1">
        <v>280</v>
      </c>
      <c r="I262" s="1">
        <f t="shared" si="9"/>
        <v>4</v>
      </c>
      <c r="J262" s="1">
        <f>LEN(Table1[[#This Row],[Final_Word]])</f>
        <v>9</v>
      </c>
    </row>
    <row r="263" spans="1:10" x14ac:dyDescent="0.2">
      <c r="A263" s="1" t="s">
        <v>496</v>
      </c>
      <c r="B263" s="1" t="s">
        <v>407</v>
      </c>
      <c r="C263" s="1">
        <v>999.00879999999779</v>
      </c>
      <c r="D263" s="1">
        <f t="shared" si="8"/>
        <v>999</v>
      </c>
      <c r="E263" s="1" t="str">
        <f>VLOOKUP(D263,'Level Key'!$A$1:$B$7,2,FALSE)</f>
        <v>TESTING / LEVEL UNASSIGNED</v>
      </c>
      <c r="F263" s="1" t="s">
        <v>133</v>
      </c>
      <c r="G263" s="2">
        <v>46081</v>
      </c>
      <c r="H263" s="1">
        <v>281</v>
      </c>
      <c r="I263" s="1">
        <f t="shared" si="9"/>
        <v>4</v>
      </c>
      <c r="J263" s="1">
        <f>LEN(Table1[[#This Row],[Final_Word]])</f>
        <v>9</v>
      </c>
    </row>
    <row r="264" spans="1:10" x14ac:dyDescent="0.2">
      <c r="A264" s="1" t="s">
        <v>373</v>
      </c>
      <c r="B264" s="1" t="s">
        <v>497</v>
      </c>
      <c r="C264" s="1">
        <v>999.00889999999777</v>
      </c>
      <c r="D264" s="1">
        <f t="shared" si="8"/>
        <v>999</v>
      </c>
      <c r="E264" s="1" t="str">
        <f>VLOOKUP(D264,'Level Key'!$A$1:$B$7,2,FALSE)</f>
        <v>TESTING / LEVEL UNASSIGNED</v>
      </c>
      <c r="F264" s="1" t="s">
        <v>133</v>
      </c>
      <c r="G264" s="2">
        <v>46082</v>
      </c>
      <c r="H264" s="1">
        <v>282</v>
      </c>
      <c r="I264" s="1">
        <f t="shared" si="9"/>
        <v>4</v>
      </c>
      <c r="J264" s="1">
        <f>LEN(Table1[[#This Row],[Final_Word]])</f>
        <v>8</v>
      </c>
    </row>
    <row r="265" spans="1:10" x14ac:dyDescent="0.2">
      <c r="A265" s="1" t="s">
        <v>85</v>
      </c>
      <c r="B265" s="1" t="s">
        <v>498</v>
      </c>
      <c r="C265" s="1">
        <v>999.00899999999774</v>
      </c>
      <c r="D265" s="1">
        <f t="shared" si="8"/>
        <v>999</v>
      </c>
      <c r="E265" s="1" t="str">
        <f>VLOOKUP(D265,'Level Key'!$A$1:$B$7,2,FALSE)</f>
        <v>TESTING / LEVEL UNASSIGNED</v>
      </c>
      <c r="F265" s="1" t="s">
        <v>133</v>
      </c>
      <c r="G265" s="2">
        <v>46083</v>
      </c>
      <c r="H265" s="1">
        <v>283</v>
      </c>
      <c r="I265" s="1">
        <f t="shared" si="9"/>
        <v>3</v>
      </c>
      <c r="J265" s="1">
        <f>LEN(Table1[[#This Row],[Final_Word]])</f>
        <v>8</v>
      </c>
    </row>
    <row r="266" spans="1:10" x14ac:dyDescent="0.2">
      <c r="A266" s="1" t="s">
        <v>410</v>
      </c>
      <c r="B266" s="1" t="s">
        <v>499</v>
      </c>
      <c r="C266" s="1">
        <v>999.00909999999772</v>
      </c>
      <c r="D266" s="1">
        <f t="shared" si="8"/>
        <v>999</v>
      </c>
      <c r="E266" s="1" t="str">
        <f>VLOOKUP(D266,'Level Key'!$A$1:$B$7,2,FALSE)</f>
        <v>TESTING / LEVEL UNASSIGNED</v>
      </c>
      <c r="F266" s="1" t="s">
        <v>133</v>
      </c>
      <c r="G266" s="2">
        <v>46084</v>
      </c>
      <c r="H266" s="1">
        <v>284</v>
      </c>
      <c r="I266" s="1">
        <f t="shared" si="9"/>
        <v>4</v>
      </c>
      <c r="J266" s="1">
        <f>LEN(Table1[[#This Row],[Final_Word]])</f>
        <v>9</v>
      </c>
    </row>
    <row r="267" spans="1:10" x14ac:dyDescent="0.2">
      <c r="A267" s="1" t="s">
        <v>500</v>
      </c>
      <c r="B267" s="1" t="s">
        <v>501</v>
      </c>
      <c r="C267" s="1">
        <v>999.00919999999769</v>
      </c>
      <c r="D267" s="1">
        <f t="shared" si="8"/>
        <v>999</v>
      </c>
      <c r="E267" s="1" t="str">
        <f>VLOOKUP(D267,'Level Key'!$A$1:$B$7,2,FALSE)</f>
        <v>TESTING / LEVEL UNASSIGNED</v>
      </c>
      <c r="F267" s="1" t="s">
        <v>133</v>
      </c>
      <c r="G267" s="2">
        <v>46085</v>
      </c>
      <c r="H267" s="1">
        <v>285</v>
      </c>
      <c r="I267" s="1">
        <f t="shared" si="9"/>
        <v>4</v>
      </c>
      <c r="J267" s="1">
        <f>LEN(Table1[[#This Row],[Final_Word]])</f>
        <v>8</v>
      </c>
    </row>
    <row r="268" spans="1:10" x14ac:dyDescent="0.2">
      <c r="A268" s="1" t="s">
        <v>359</v>
      </c>
      <c r="B268" s="1" t="s">
        <v>502</v>
      </c>
      <c r="C268" s="1">
        <v>999.00929999999767</v>
      </c>
      <c r="D268" s="1">
        <f t="shared" si="8"/>
        <v>999</v>
      </c>
      <c r="E268" s="1" t="str">
        <f>VLOOKUP(D268,'Level Key'!$A$1:$B$7,2,FALSE)</f>
        <v>TESTING / LEVEL UNASSIGNED</v>
      </c>
      <c r="F268" s="1" t="s">
        <v>133</v>
      </c>
      <c r="G268" s="2">
        <v>46086</v>
      </c>
      <c r="H268" s="1">
        <v>286</v>
      </c>
      <c r="I268" s="1">
        <f t="shared" si="9"/>
        <v>4</v>
      </c>
      <c r="J268" s="1">
        <f>LEN(Table1[[#This Row],[Final_Word]])</f>
        <v>11</v>
      </c>
    </row>
    <row r="269" spans="1:10" x14ac:dyDescent="0.2">
      <c r="A269" s="1" t="s">
        <v>507</v>
      </c>
      <c r="B269" s="1" t="s">
        <v>448</v>
      </c>
      <c r="C269" s="1">
        <v>999.00940000000003</v>
      </c>
      <c r="D269" s="1">
        <f t="shared" si="8"/>
        <v>999</v>
      </c>
      <c r="E269" s="1" t="str">
        <f>VLOOKUP(D269,'Level Key'!$A$1:$B$7,2,FALSE)</f>
        <v>TESTING / LEVEL UNASSIGNED</v>
      </c>
      <c r="F269" s="1" t="s">
        <v>133</v>
      </c>
      <c r="G269" s="2">
        <v>46087</v>
      </c>
      <c r="H269" s="1">
        <v>287</v>
      </c>
      <c r="I269" s="1">
        <f t="shared" si="9"/>
        <v>4</v>
      </c>
      <c r="J269" s="1">
        <f>LEN(Table1[[#This Row],[Final_Word]])</f>
        <v>8</v>
      </c>
    </row>
    <row r="270" spans="1:10" x14ac:dyDescent="0.2">
      <c r="A270" s="1" t="s">
        <v>53</v>
      </c>
      <c r="B270" s="1" t="s">
        <v>54</v>
      </c>
      <c r="C270" s="1">
        <v>0.01</v>
      </c>
      <c r="D270" s="1">
        <f t="shared" si="8"/>
        <v>0</v>
      </c>
      <c r="E270" s="1" t="str">
        <f>VLOOKUP(D270,'Level Key'!$A$1:$B$7,2,FALSE)</f>
        <v>rookie</v>
      </c>
      <c r="F270" s="1" t="s">
        <v>133</v>
      </c>
      <c r="G270" s="1"/>
      <c r="H270" s="1">
        <v>1</v>
      </c>
      <c r="I270" s="1">
        <f t="shared" si="9"/>
        <v>3</v>
      </c>
      <c r="J270" s="1">
        <f>LEN(Table1[[#This Row],[Final_Word]])</f>
        <v>5</v>
      </c>
    </row>
    <row r="271" spans="1:10" x14ac:dyDescent="0.2">
      <c r="A271" s="1" t="s">
        <v>67</v>
      </c>
      <c r="B271" s="1" t="s">
        <v>68</v>
      </c>
      <c r="C271" s="1">
        <v>1.0999999999999999E-2</v>
      </c>
      <c r="D271" s="1">
        <f t="shared" si="8"/>
        <v>0</v>
      </c>
      <c r="E271" s="1" t="str">
        <f>VLOOKUP(D271,'Level Key'!$A$1:$B$7,2,FALSE)</f>
        <v>rookie</v>
      </c>
      <c r="F271" s="1" t="s">
        <v>328</v>
      </c>
      <c r="G271" s="2"/>
      <c r="H271" s="1">
        <v>2</v>
      </c>
      <c r="I271" s="1">
        <f t="shared" si="9"/>
        <v>3</v>
      </c>
      <c r="J271" s="1">
        <f>LEN(Table1[[#This Row],[Final_Word]])</f>
        <v>5</v>
      </c>
    </row>
    <row r="272" spans="1:10" x14ac:dyDescent="0.2">
      <c r="A272" s="1" t="s">
        <v>69</v>
      </c>
      <c r="B272" s="1" t="s">
        <v>70</v>
      </c>
      <c r="C272" s="1">
        <v>1.2E-2</v>
      </c>
      <c r="D272" s="1">
        <f t="shared" si="8"/>
        <v>0</v>
      </c>
      <c r="E272" s="1" t="str">
        <f>VLOOKUP(D272,'Level Key'!$A$1:$B$7,2,FALSE)</f>
        <v>rookie</v>
      </c>
      <c r="F272" s="1" t="s">
        <v>133</v>
      </c>
      <c r="G272" s="2"/>
      <c r="H272" s="1">
        <v>3</v>
      </c>
      <c r="I272" s="1">
        <f t="shared" si="9"/>
        <v>2</v>
      </c>
      <c r="J272" s="1">
        <f>LEN(Table1[[#This Row],[Final_Word]])</f>
        <v>5</v>
      </c>
    </row>
    <row r="273" spans="1:10" x14ac:dyDescent="0.2">
      <c r="A273" s="1" t="s">
        <v>57</v>
      </c>
      <c r="B273" s="1" t="s">
        <v>58</v>
      </c>
      <c r="C273" s="1">
        <v>0.02</v>
      </c>
      <c r="D273" s="1">
        <f t="shared" si="8"/>
        <v>0</v>
      </c>
      <c r="E273" s="1" t="str">
        <f>VLOOKUP(D273,'Level Key'!$A$1:$B$7,2,FALSE)</f>
        <v>rookie</v>
      </c>
      <c r="F273" s="1" t="s">
        <v>328</v>
      </c>
      <c r="G273" s="2"/>
      <c r="H273" s="1">
        <v>4</v>
      </c>
      <c r="I273" s="1">
        <f t="shared" si="9"/>
        <v>2</v>
      </c>
      <c r="J273" s="1">
        <f>LEN(Table1[[#This Row],[Final_Word]])</f>
        <v>5</v>
      </c>
    </row>
    <row r="274" spans="1:10" x14ac:dyDescent="0.2">
      <c r="A274" s="1" t="s">
        <v>60</v>
      </c>
      <c r="B274" s="1" t="s">
        <v>59</v>
      </c>
      <c r="C274" s="1">
        <v>0.03</v>
      </c>
      <c r="D274" s="1">
        <f t="shared" si="8"/>
        <v>0</v>
      </c>
      <c r="E274" s="1" t="str">
        <f>VLOOKUP(D274,'Level Key'!$A$1:$B$7,2,FALSE)</f>
        <v>rookie</v>
      </c>
      <c r="F274" s="1" t="s">
        <v>133</v>
      </c>
      <c r="G274" s="2"/>
      <c r="H274" s="1">
        <v>5</v>
      </c>
      <c r="I274" s="1">
        <f t="shared" si="9"/>
        <v>2</v>
      </c>
      <c r="J274" s="1">
        <f>LEN(Table1[[#This Row],[Final_Word]])</f>
        <v>5</v>
      </c>
    </row>
    <row r="275" spans="1:10" x14ac:dyDescent="0.2">
      <c r="A275" s="1" t="s">
        <v>218</v>
      </c>
      <c r="B275" s="1" t="s">
        <v>219</v>
      </c>
      <c r="C275" s="1">
        <v>0.06</v>
      </c>
      <c r="D275" s="1">
        <f t="shared" si="8"/>
        <v>0</v>
      </c>
      <c r="E275" s="1" t="str">
        <f>VLOOKUP(D275,'Level Key'!$A$1:$B$7,2,FALSE)</f>
        <v>rookie</v>
      </c>
      <c r="F275" s="1" t="s">
        <v>133</v>
      </c>
      <c r="G275" s="2"/>
      <c r="H275" s="1">
        <v>129</v>
      </c>
      <c r="I275" s="1">
        <f t="shared" si="9"/>
        <v>2</v>
      </c>
      <c r="J275" s="1">
        <f>LEN(Table1[[#This Row],[Final_Word]])</f>
        <v>5</v>
      </c>
    </row>
    <row r="276" spans="1:10" x14ac:dyDescent="0.2">
      <c r="A276" s="1" t="s">
        <v>55</v>
      </c>
      <c r="B276" s="1" t="s">
        <v>56</v>
      </c>
      <c r="C276" s="1">
        <v>0.1</v>
      </c>
      <c r="D276" s="1">
        <f t="shared" si="8"/>
        <v>0</v>
      </c>
      <c r="E276" s="1" t="str">
        <f>VLOOKUP(D276,'Level Key'!$A$1:$B$7,2,FALSE)</f>
        <v>rookie</v>
      </c>
      <c r="F276" s="1" t="s">
        <v>133</v>
      </c>
      <c r="G276" s="2"/>
      <c r="H276" s="1">
        <v>6</v>
      </c>
      <c r="I276" s="1">
        <f t="shared" si="9"/>
        <v>3</v>
      </c>
      <c r="J276" s="1">
        <f>LEN(Table1[[#This Row],[Final_Word]])</f>
        <v>5</v>
      </c>
    </row>
    <row r="277" spans="1:10" x14ac:dyDescent="0.2">
      <c r="A277" s="1" t="s">
        <v>51</v>
      </c>
      <c r="B277" s="1" t="s">
        <v>52</v>
      </c>
      <c r="C277" s="1">
        <v>0.2</v>
      </c>
      <c r="D277" s="1">
        <f t="shared" si="8"/>
        <v>0</v>
      </c>
      <c r="E277" s="1" t="str">
        <f>VLOOKUP(D277,'Level Key'!$A$1:$B$7,2,FALSE)</f>
        <v>rookie</v>
      </c>
      <c r="F277" s="1" t="s">
        <v>133</v>
      </c>
      <c r="G277" s="2"/>
      <c r="H277" s="1">
        <v>7</v>
      </c>
      <c r="I277" s="1">
        <f t="shared" si="9"/>
        <v>2</v>
      </c>
      <c r="J277" s="1">
        <f>LEN(Table1[[#This Row],[Final_Word]])</f>
        <v>5</v>
      </c>
    </row>
    <row r="278" spans="1:10" x14ac:dyDescent="0.2">
      <c r="A278" s="1" t="s">
        <v>65</v>
      </c>
      <c r="B278" s="1" t="s">
        <v>66</v>
      </c>
      <c r="C278" s="1">
        <v>0.3</v>
      </c>
      <c r="D278" s="1">
        <f t="shared" si="8"/>
        <v>0</v>
      </c>
      <c r="E278" s="1" t="str">
        <f>VLOOKUP(D278,'Level Key'!$A$1:$B$7,2,FALSE)</f>
        <v>rookie</v>
      </c>
      <c r="F278" s="1" t="s">
        <v>133</v>
      </c>
      <c r="G278" s="2"/>
      <c r="H278" s="1">
        <v>8</v>
      </c>
      <c r="I278" s="1">
        <f t="shared" si="9"/>
        <v>2</v>
      </c>
      <c r="J278" s="1">
        <f>LEN(Table1[[#This Row],[Final_Word]])</f>
        <v>6</v>
      </c>
    </row>
    <row r="279" spans="1:10" x14ac:dyDescent="0.2">
      <c r="A279" s="1" t="s">
        <v>46</v>
      </c>
      <c r="B279" s="1" t="s">
        <v>50</v>
      </c>
      <c r="C279" s="1">
        <v>0.4</v>
      </c>
      <c r="D279" s="1">
        <f t="shared" si="8"/>
        <v>0</v>
      </c>
      <c r="E279" s="1" t="str">
        <f>VLOOKUP(D279,'Level Key'!$A$1:$B$7,2,FALSE)</f>
        <v>rookie</v>
      </c>
      <c r="F279" s="1" t="s">
        <v>133</v>
      </c>
      <c r="G279" s="2"/>
      <c r="H279" s="1">
        <v>9</v>
      </c>
      <c r="I279" s="1">
        <f t="shared" si="9"/>
        <v>2</v>
      </c>
      <c r="J279" s="1">
        <f>LEN(Table1[[#This Row],[Final_Word]])</f>
        <v>6</v>
      </c>
    </row>
    <row r="280" spans="1:10" x14ac:dyDescent="0.2">
      <c r="A280" s="1" t="s">
        <v>103</v>
      </c>
      <c r="B280" s="1" t="s">
        <v>174</v>
      </c>
      <c r="C280" s="1">
        <v>0.7</v>
      </c>
      <c r="D280" s="1">
        <f t="shared" si="8"/>
        <v>0</v>
      </c>
      <c r="E280" s="1" t="str">
        <f>VLOOKUP(D280,'Level Key'!$A$1:$B$7,2,FALSE)</f>
        <v>rookie</v>
      </c>
      <c r="F280" s="1" t="s">
        <v>133</v>
      </c>
      <c r="G280" s="2"/>
      <c r="H280" s="1">
        <v>102</v>
      </c>
      <c r="I280" s="1">
        <f t="shared" si="9"/>
        <v>2</v>
      </c>
      <c r="J280" s="1">
        <f>LEN(Table1[[#This Row],[Final_Word]])</f>
        <v>6</v>
      </c>
    </row>
    <row r="281" spans="1:10" x14ac:dyDescent="0.2">
      <c r="A281" s="1" t="s">
        <v>85</v>
      </c>
      <c r="B281" s="1" t="s">
        <v>204</v>
      </c>
      <c r="C281" s="1">
        <v>0.8</v>
      </c>
      <c r="D281" s="1">
        <f t="shared" si="8"/>
        <v>0</v>
      </c>
      <c r="E281" s="1" t="str">
        <f>VLOOKUP(D281,'Level Key'!$A$1:$B$7,2,FALSE)</f>
        <v>rookie</v>
      </c>
      <c r="F281" s="1" t="s">
        <v>133</v>
      </c>
      <c r="G281" s="2"/>
      <c r="H281" s="1">
        <v>121</v>
      </c>
      <c r="I281" s="1">
        <f t="shared" si="9"/>
        <v>3</v>
      </c>
      <c r="J281" s="1">
        <f>LEN(Table1[[#This Row],[Final_Word]])</f>
        <v>6</v>
      </c>
    </row>
    <row r="282" spans="1:10" x14ac:dyDescent="0.2">
      <c r="A282" s="1" t="s">
        <v>92</v>
      </c>
      <c r="B282" s="1" t="s">
        <v>93</v>
      </c>
      <c r="C282" s="1">
        <v>0.85</v>
      </c>
      <c r="D282" s="1">
        <f t="shared" si="8"/>
        <v>0</v>
      </c>
      <c r="E282" s="1" t="str">
        <f>VLOOKUP(D282,'Level Key'!$A$1:$B$7,2,FALSE)</f>
        <v>rookie</v>
      </c>
      <c r="F282" s="1" t="s">
        <v>133</v>
      </c>
      <c r="G282" s="2"/>
      <c r="H282" s="1">
        <v>54</v>
      </c>
      <c r="I282" s="1">
        <f t="shared" si="9"/>
        <v>3</v>
      </c>
      <c r="J282" s="1">
        <f>LEN(Table1[[#This Row],[Final_Word]])</f>
        <v>6</v>
      </c>
    </row>
    <row r="283" spans="1:10" x14ac:dyDescent="0.2">
      <c r="A283" s="1" t="s">
        <v>61</v>
      </c>
      <c r="B283" s="1" t="s">
        <v>62</v>
      </c>
      <c r="C283" s="1">
        <v>0.9</v>
      </c>
      <c r="D283" s="1">
        <f t="shared" si="8"/>
        <v>0</v>
      </c>
      <c r="E283" s="1" t="str">
        <f>VLOOKUP(D283,'Level Key'!$A$1:$B$7,2,FALSE)</f>
        <v>rookie</v>
      </c>
      <c r="F283" s="1" t="s">
        <v>133</v>
      </c>
      <c r="G283" s="2"/>
      <c r="H283" s="1">
        <v>10</v>
      </c>
      <c r="I283" s="1">
        <f t="shared" si="9"/>
        <v>3</v>
      </c>
      <c r="J283" s="1">
        <f>LEN(Table1[[#This Row],[Final_Word]])</f>
        <v>7</v>
      </c>
    </row>
    <row r="284" spans="1:10" x14ac:dyDescent="0.2">
      <c r="A284" s="1" t="s">
        <v>63</v>
      </c>
      <c r="B284" s="1" t="s">
        <v>64</v>
      </c>
      <c r="C284" s="1">
        <v>0.95</v>
      </c>
      <c r="D284" s="1">
        <f t="shared" si="8"/>
        <v>0</v>
      </c>
      <c r="E284" s="1" t="str">
        <f>VLOOKUP(D284,'Level Key'!$A$1:$B$7,2,FALSE)</f>
        <v>rookie</v>
      </c>
      <c r="F284" s="1" t="s">
        <v>133</v>
      </c>
      <c r="G284" s="2"/>
      <c r="H284" s="1">
        <v>11</v>
      </c>
      <c r="I284" s="1">
        <f t="shared" si="9"/>
        <v>3</v>
      </c>
      <c r="J284" s="1">
        <f>LEN(Table1[[#This Row],[Final_Word]])</f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7351-A85E-744F-8C69-2B0F8BBF9153}">
  <dimension ref="A1:B7"/>
  <sheetViews>
    <sheetView zoomScale="137" workbookViewId="0">
      <selection activeCell="B19" sqref="B19"/>
    </sheetView>
  </sheetViews>
  <sheetFormatPr baseColWidth="10" defaultRowHeight="16" x14ac:dyDescent="0.2"/>
  <cols>
    <col min="1" max="1" width="13.1640625" bestFit="1" customWidth="1"/>
    <col min="2" max="2" width="27.1640625" bestFit="1" customWidth="1"/>
  </cols>
  <sheetData>
    <row r="1" spans="1:2" x14ac:dyDescent="0.2">
      <c r="A1" s="1" t="s">
        <v>49</v>
      </c>
      <c r="B1" s="1" t="s">
        <v>71</v>
      </c>
    </row>
    <row r="2" spans="1:2" x14ac:dyDescent="0.2">
      <c r="A2" s="1">
        <v>0</v>
      </c>
      <c r="B2" s="1" t="s">
        <v>111</v>
      </c>
    </row>
    <row r="3" spans="1:2" x14ac:dyDescent="0.2">
      <c r="A3" s="1">
        <v>1</v>
      </c>
      <c r="B3" s="1" t="s">
        <v>112</v>
      </c>
    </row>
    <row r="4" spans="1:2" x14ac:dyDescent="0.2">
      <c r="A4" s="1">
        <v>2</v>
      </c>
      <c r="B4" s="1" t="s">
        <v>113</v>
      </c>
    </row>
    <row r="5" spans="1:2" x14ac:dyDescent="0.2">
      <c r="A5" s="1">
        <v>3</v>
      </c>
      <c r="B5" s="1" t="s">
        <v>114</v>
      </c>
    </row>
    <row r="6" spans="1:2" x14ac:dyDescent="0.2">
      <c r="A6" s="1">
        <v>4</v>
      </c>
      <c r="B6" s="1" t="s">
        <v>115</v>
      </c>
    </row>
    <row r="7" spans="1:2" x14ac:dyDescent="0.2">
      <c r="A7" s="1">
        <v>999</v>
      </c>
      <c r="B7" s="1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Puzzle Bank</vt:lpstr>
      <vt:lpstr>Level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Maser</dc:creator>
  <cp:lastModifiedBy>Jeffrey Maser</cp:lastModifiedBy>
  <dcterms:created xsi:type="dcterms:W3CDTF">2024-12-02T21:49:07Z</dcterms:created>
  <dcterms:modified xsi:type="dcterms:W3CDTF">2025-06-12T05:38:53Z</dcterms:modified>
</cp:coreProperties>
</file>